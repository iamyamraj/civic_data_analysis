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esktop\Municipal_Election\Municipal_Data\"/>
    </mc:Choice>
  </mc:AlternateContent>
  <xr:revisionPtr revIDLastSave="0" documentId="13_ncr:1_{ADD1346C-BFA3-43C9-8F72-616B845520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ection_2011" sheetId="1" r:id="rId1"/>
  </sheets>
  <definedNames>
    <definedName name="_xlnm._FilterDatabase" localSheetId="0" hidden="1">Election_2011!$A$1:$A$143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2" i="1" a="1"/>
  <c r="F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<sst xmlns="http://schemas.openxmlformats.org/spreadsheetml/2006/main" count="141" uniqueCount="138">
  <si>
    <t>Dunbar Community Centre</t>
  </si>
  <si>
    <t>Lord Kitchener Elementary School</t>
  </si>
  <si>
    <t>Carnarvon Elementary School</t>
  </si>
  <si>
    <t>Kitsilano Community Centre</t>
  </si>
  <si>
    <t>Prince of Wales Mini School</t>
  </si>
  <si>
    <t>Vancouver Resource Society</t>
  </si>
  <si>
    <t>Vancouver Masonic Centre</t>
  </si>
  <si>
    <t>Redeemer Lutheran Church</t>
  </si>
  <si>
    <t>Trinity Baptist Church</t>
  </si>
  <si>
    <t>Marpole Place for Seniors</t>
  </si>
  <si>
    <t>Sunset Towers</t>
  </si>
  <si>
    <t>West End Community Centre</t>
  </si>
  <si>
    <t>St. Paul's Anglican Church</t>
  </si>
  <si>
    <t>Laurier School Annex</t>
  </si>
  <si>
    <t>Vancouver Public Library</t>
  </si>
  <si>
    <t>Mount Pleasant Elementary School</t>
  </si>
  <si>
    <t>St. Andrew's Church</t>
  </si>
  <si>
    <t>McBride School Annex</t>
  </si>
  <si>
    <t>Sir Alexander Mackenzie Elementary School</t>
  </si>
  <si>
    <t>Moberly Arts &amp; Cultural Centre</t>
  </si>
  <si>
    <t>Walter Moberly Elementary School</t>
  </si>
  <si>
    <t>Lord Selkirk School Annex</t>
  </si>
  <si>
    <t>Queen Victoria School Annex</t>
  </si>
  <si>
    <t>Cunningham Elementary School</t>
  </si>
  <si>
    <t>Macdonald Elementary School</t>
  </si>
  <si>
    <t>Sir Matthew Begbie Elementary School</t>
  </si>
  <si>
    <t>Chief Maquinna School Annex</t>
  </si>
  <si>
    <t>Champlain Heights School Annex</t>
  </si>
  <si>
    <t>West Point Grey Baptist Church</t>
  </si>
  <si>
    <t>Lord Byng Secondary School</t>
  </si>
  <si>
    <t>Lion's Den Recreation Centre</t>
  </si>
  <si>
    <t>Emily Carr Elementary School</t>
  </si>
  <si>
    <t>Strathcona Community Centre</t>
  </si>
  <si>
    <t>Elsie Roy Elementary School</t>
  </si>
  <si>
    <t>Gordon Neighbouhood House</t>
  </si>
  <si>
    <t>Bayview Elementary School</t>
  </si>
  <si>
    <t>General Gordon Elementary School</t>
  </si>
  <si>
    <t>Knox Fellowship Centre</t>
  </si>
  <si>
    <t>St. Mark's Anglican Church - Sanctuary</t>
  </si>
  <si>
    <t>St. Augustine's Church</t>
  </si>
  <si>
    <t>Maple Grove Elementary School</t>
  </si>
  <si>
    <t>St. Faith's Anglican Church</t>
  </si>
  <si>
    <t>Dr. R. E. McKechnie Elementary School</t>
  </si>
  <si>
    <t>Fairview Presbyterian Church</t>
  </si>
  <si>
    <t>King George Secondary School</t>
  </si>
  <si>
    <t>False Creek Elementary School</t>
  </si>
  <si>
    <t>Century Plaza Hotel</t>
  </si>
  <si>
    <t>Jubilee House</t>
  </si>
  <si>
    <t>The Gathering Place</t>
  </si>
  <si>
    <t>Developmental Disabilities Association</t>
  </si>
  <si>
    <t>General Wolfe Elementary School</t>
  </si>
  <si>
    <t>General Brock Elementary School</t>
  </si>
  <si>
    <t>Collingwood Neighbourhood House</t>
  </si>
  <si>
    <t>John Oliver Secondary School</t>
  </si>
  <si>
    <t>Sunset Community Centre</t>
  </si>
  <si>
    <t>Carnegie Centre</t>
  </si>
  <si>
    <t>BC Housing</t>
  </si>
  <si>
    <t>Dickens School Annex</t>
  </si>
  <si>
    <t>Culloden Court</t>
  </si>
  <si>
    <t>Ray-Cam Co-operative Centre</t>
  </si>
  <si>
    <t>Britannia Community Centre</t>
  </si>
  <si>
    <t>Queen Alexandra Elementary School</t>
  </si>
  <si>
    <t>Tecumseh School Annex</t>
  </si>
  <si>
    <t>Sir Sanford Fleming Elementary School</t>
  </si>
  <si>
    <t>David Thompson Secondary School</t>
  </si>
  <si>
    <t>Windermere Secondary School</t>
  </si>
  <si>
    <t>Carleton Elementary School</t>
  </si>
  <si>
    <t>Dr. George Weir Elementary School</t>
  </si>
  <si>
    <t>Dr. A.R. Lord Elementary School</t>
  </si>
  <si>
    <t>Thunderbird Elementary School</t>
  </si>
  <si>
    <t>Franklin Elementary School</t>
  </si>
  <si>
    <t>Lord Beaconsfield Elementary School</t>
  </si>
  <si>
    <t>Renfrew Park Community Centre</t>
  </si>
  <si>
    <t>St. Mary's Ukrainian Catholic Centre</t>
  </si>
  <si>
    <t>West Point Grey Community Centre</t>
  </si>
  <si>
    <t>St Patrick's Regional Secondary School</t>
  </si>
  <si>
    <t>David Livingstone Elementary School</t>
  </si>
  <si>
    <t>Vancouver Aquatic Centre</t>
  </si>
  <si>
    <t>Langara Golf Course</t>
  </si>
  <si>
    <t>St. Chad's Anglican Church</t>
  </si>
  <si>
    <t>South Vancouver Family Place</t>
  </si>
  <si>
    <t>Henry Hudson Elementary School</t>
  </si>
  <si>
    <t>Simon Fraser Elementary School</t>
  </si>
  <si>
    <t>L'Ecole Bilingue</t>
  </si>
  <si>
    <t>Mount Pleasant Community Centre</t>
  </si>
  <si>
    <t>Southlands Elementary School</t>
  </si>
  <si>
    <t>Point Grey Community Church</t>
  </si>
  <si>
    <t>Kerrisdale School Annex</t>
  </si>
  <si>
    <t>St. Mark's Anglican Church - Basement Hall</t>
  </si>
  <si>
    <t>Kitsilano Secondary School</t>
  </si>
  <si>
    <t>St Mary's Kerrisdale Church</t>
  </si>
  <si>
    <t>Kerrisdale Community Centre</t>
  </si>
  <si>
    <t>Point Grey Secondary School</t>
  </si>
  <si>
    <t>Shaughnessy Elementary School</t>
  </si>
  <si>
    <t>Lord Roberts Elementary School</t>
  </si>
  <si>
    <t>Sir Wilfrid Laurier Elementary School</t>
  </si>
  <si>
    <t>Lord Roberts School Annex</t>
  </si>
  <si>
    <t>Twin Arms Apartments</t>
  </si>
  <si>
    <t>Douglas Park Community Centre</t>
  </si>
  <si>
    <t>Dr. Annie Jamieson Elementary School</t>
  </si>
  <si>
    <t>Van Horne Elementary School</t>
  </si>
  <si>
    <t>Chinese Cultural Centre of Greater Vancouver</t>
  </si>
  <si>
    <t>Henderson School Annex</t>
  </si>
  <si>
    <t>Laura Secord Elementary School</t>
  </si>
  <si>
    <t>Gladstone Secondary School</t>
  </si>
  <si>
    <t>Templeton Secondary School</t>
  </si>
  <si>
    <t>Garibaldi Elementary School (Nelson Annex)</t>
  </si>
  <si>
    <t>John Norquay Elementary School</t>
  </si>
  <si>
    <t>Waverley Elementary School</t>
  </si>
  <si>
    <t>Ecole Anne Hebert</t>
  </si>
  <si>
    <t>Kingsford-Smith Elementary School</t>
  </si>
  <si>
    <t>Tillicum School Annex</t>
  </si>
  <si>
    <t>Hastings Elementary School</t>
  </si>
  <si>
    <t>Captain James Cook Elementary School</t>
  </si>
  <si>
    <t>Renfrew Elementary School</t>
  </si>
  <si>
    <t>Graham Bruce Elementary School</t>
  </si>
  <si>
    <t>MacCorkindale Elementary School</t>
  </si>
  <si>
    <t>Kivan Boys' and Girls' Club</t>
  </si>
  <si>
    <t>Mount Pleasant Neighbourhood House</t>
  </si>
  <si>
    <t>Grace Memorial United Church</t>
  </si>
  <si>
    <t>Queen Elizabeth Elementary School</t>
  </si>
  <si>
    <t>Lord Selkirk Elementary School</t>
  </si>
  <si>
    <t>Broadway Church</t>
  </si>
  <si>
    <t>Grandview Elementary School</t>
  </si>
  <si>
    <t>Stanley Park Lawn Bowling Club</t>
  </si>
  <si>
    <t>Coal Harbour Community Centre</t>
  </si>
  <si>
    <t>Vancouver Museum</t>
  </si>
  <si>
    <t>Vancouver Community College (Downtown)</t>
  </si>
  <si>
    <t>St Augustine's Parish School</t>
  </si>
  <si>
    <t>Hillcrest Centre</t>
  </si>
  <si>
    <t>Guardian Angels Parish</t>
  </si>
  <si>
    <t>Creekside Community Recreation Centre</t>
  </si>
  <si>
    <t>registered</t>
  </si>
  <si>
    <t>division</t>
  </si>
  <si>
    <t>percentage</t>
  </si>
  <si>
    <t>color schema</t>
  </si>
  <si>
    <t>valid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</si>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</sst>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zoomScaleNormal="100" workbookViewId="0">
      <selection activeCell="L6" sqref="L6"/>
    </sheetView>
  </sheetViews>
  <sheetFormatPr defaultRowHeight="14.4" x14ac:dyDescent="0.3"/>
  <cols>
    <col min="1" max="1" width="16.5546875" style="5" bestFit="1" customWidth="1"/>
    <col min="2" max="2" width="39.21875" bestFit="1" customWidth="1"/>
    <col min="3" max="3" width="6.21875" bestFit="1" customWidth="1"/>
    <col min="4" max="4" width="11.44140625" bestFit="1" customWidth="1"/>
    <col min="5" max="5" width="12.77734375" bestFit="1" customWidth="1"/>
    <col min="6" max="6" width="15.44140625" bestFit="1" customWidth="1"/>
  </cols>
  <sheetData>
    <row r="1" spans="1:6" s="1" customFormat="1" ht="15.6" x14ac:dyDescent="0.3">
      <c r="A1" s="4" t="s">
        <v>133</v>
      </c>
      <c r="B1" s="1" t="s">
        <v>137</v>
      </c>
      <c r="C1" s="1" t="s">
        <v>136</v>
      </c>
      <c r="D1" s="1" t="s">
        <v>132</v>
      </c>
      <c r="E1" s="1" t="s">
        <v>134</v>
      </c>
      <c r="F1" s="1" t="s">
        <v>135</v>
      </c>
    </row>
    <row r="2" spans="1:6" x14ac:dyDescent="0.3">
      <c r="A2" s="5">
        <v>1</v>
      </c>
      <c r="B2" s="2" t="s">
        <v>124</v>
      </c>
      <c r="C2">
        <v>790</v>
      </c>
      <c r="D2">
        <v>2889</v>
      </c>
      <c r="E2" s="3">
        <f>(C2/D2)*100</f>
        <v>27.345102111457255</v>
      </c>
      <c r="F2" cm="1">
        <f t="array" ref="F2">IF(AND(E2&gt;=0,E2&lt;=10),0,IF(AND(E2&gt;10,E2&lt;=20),1, IF(AND(E2&gt;20,E2&lt;=30),2,IF(AND(E2&gt;30,E2&lt;=40),3, IF(AND(E2&gt;40,E2&lt;=50),4,”5”)))))</f>
        <v>2</v>
      </c>
    </row>
    <row r="3" spans="1:6" x14ac:dyDescent="0.3">
      <c r="A3" s="5">
        <v>2</v>
      </c>
      <c r="B3" s="2" t="s">
        <v>44</v>
      </c>
      <c r="C3">
        <v>940</v>
      </c>
      <c r="D3">
        <v>3063</v>
      </c>
      <c r="E3" s="3">
        <f t="shared" ref="E3:E66" si="0">(C3/D3)*100</f>
        <v>30.688867123734902</v>
      </c>
      <c r="F3" cm="1">
        <f t="array" ref="F3">IF(AND(E3&gt;=0,E3&lt;=10),0,IF(AND(E3&gt;10,E3&lt;=20),1, IF(AND(E3&gt;20,E3&lt;=30),2,IF(AND(E3&gt;30,E3&lt;=40),3, IF(AND(E3&gt;40,E3&lt;=50),4,”5”)))))</f>
        <v>3</v>
      </c>
    </row>
    <row r="4" spans="1:6" x14ac:dyDescent="0.3">
      <c r="A4" s="5">
        <v>3</v>
      </c>
      <c r="B4" s="2" t="s">
        <v>11</v>
      </c>
      <c r="C4">
        <v>742</v>
      </c>
      <c r="D4">
        <v>3720</v>
      </c>
      <c r="E4" s="3">
        <f t="shared" si="0"/>
        <v>19.946236559139784</v>
      </c>
      <c r="F4" cm="1">
        <f t="array" ref="F4">IF(AND(E4&gt;=0,E4&lt;=10),0,IF(AND(E4&gt;10,E4&lt;=20),1, IF(AND(E4&gt;20,E4&lt;=30),2,IF(AND(E4&gt;30,E4&lt;=40),3, IF(AND(E4&gt;40,E4&lt;=50),4,”5”)))))</f>
        <v>1</v>
      </c>
    </row>
    <row r="5" spans="1:6" x14ac:dyDescent="0.3">
      <c r="A5" s="5">
        <v>4</v>
      </c>
      <c r="B5" s="2" t="s">
        <v>10</v>
      </c>
      <c r="C5">
        <v>747</v>
      </c>
      <c r="D5">
        <v>2849</v>
      </c>
      <c r="E5" s="3">
        <f t="shared" si="0"/>
        <v>26.219726219726219</v>
      </c>
      <c r="F5" cm="1">
        <f t="array" ref="F5">IF(AND(E5&gt;=0,E5&lt;=10),0,IF(AND(E5&gt;10,E5&lt;=20),1, IF(AND(E5&gt;20,E5&lt;=30),2,IF(AND(E5&gt;30,E5&lt;=40),3, IF(AND(E5&gt;40,E5&lt;=50),4,”5”)))))</f>
        <v>2</v>
      </c>
    </row>
    <row r="6" spans="1:6" x14ac:dyDescent="0.3">
      <c r="A6" s="5">
        <v>5</v>
      </c>
      <c r="B6" s="2" t="s">
        <v>94</v>
      </c>
      <c r="C6">
        <v>857</v>
      </c>
      <c r="D6">
        <v>3156</v>
      </c>
      <c r="E6" s="3">
        <f t="shared" si="0"/>
        <v>27.15462610899873</v>
      </c>
      <c r="F6" cm="1">
        <f t="array" ref="F6">IF(AND(E6&gt;=0,E6&lt;=10),0,IF(AND(E6&gt;10,E6&lt;=20),1, IF(AND(E6&gt;20,E6&lt;=30),2,IF(AND(E6&gt;30,E6&lt;=40),3, IF(AND(E6&gt;40,E6&lt;=50),4,”5”)))))</f>
        <v>2</v>
      </c>
    </row>
    <row r="7" spans="1:6" x14ac:dyDescent="0.3">
      <c r="A7" s="5">
        <v>6</v>
      </c>
      <c r="B7" s="2" t="s">
        <v>130</v>
      </c>
      <c r="C7">
        <v>871</v>
      </c>
      <c r="D7">
        <v>3176</v>
      </c>
      <c r="E7" s="3">
        <f t="shared" si="0"/>
        <v>27.424433249370278</v>
      </c>
      <c r="F7" cm="1">
        <f t="array" ref="F7">IF(AND(E7&gt;=0,E7&lt;=10),0,IF(AND(E7&gt;10,E7&lt;=20),1, IF(AND(E7&gt;20,E7&lt;=30),2,IF(AND(E7&gt;30,E7&lt;=40),3, IF(AND(E7&gt;40,E7&lt;=50),4,”5”)))))</f>
        <v>2</v>
      </c>
    </row>
    <row r="8" spans="1:6" x14ac:dyDescent="0.3">
      <c r="A8" s="5">
        <v>7</v>
      </c>
      <c r="B8" s="2" t="s">
        <v>12</v>
      </c>
      <c r="C8">
        <v>807</v>
      </c>
      <c r="D8">
        <v>3053</v>
      </c>
      <c r="E8" s="3">
        <f t="shared" si="0"/>
        <v>26.433016704880448</v>
      </c>
      <c r="F8" cm="1">
        <f t="array" ref="F8">IF(AND(E8&gt;=0,E8&lt;=10),0,IF(AND(E8&gt;10,E8&lt;=20),1, IF(AND(E8&gt;20,E8&lt;=30),2,IF(AND(E8&gt;30,E8&lt;=40),3, IF(AND(E8&gt;40,E8&lt;=50),4,”5”)))))</f>
        <v>2</v>
      </c>
    </row>
    <row r="9" spans="1:6" x14ac:dyDescent="0.3">
      <c r="A9" s="5">
        <v>8</v>
      </c>
      <c r="B9" s="2" t="s">
        <v>34</v>
      </c>
      <c r="C9">
        <v>808</v>
      </c>
      <c r="D9">
        <v>3065</v>
      </c>
      <c r="E9" s="3">
        <f t="shared" si="0"/>
        <v>26.36215334420881</v>
      </c>
      <c r="F9" cm="1">
        <f t="array" ref="F9">IF(AND(E9&gt;=0,E9&lt;=10),0,IF(AND(E9&gt;10,E9&lt;=20),1, IF(AND(E9&gt;20,E9&lt;=30),2,IF(AND(E9&gt;30,E9&lt;=40),3, IF(AND(E9&gt;40,E9&lt;=50),4,”5”)))))</f>
        <v>2</v>
      </c>
    </row>
    <row r="10" spans="1:6" x14ac:dyDescent="0.3">
      <c r="A10" s="5">
        <v>9</v>
      </c>
      <c r="B10" s="2" t="s">
        <v>125</v>
      </c>
      <c r="C10">
        <v>808</v>
      </c>
      <c r="D10">
        <v>4444</v>
      </c>
      <c r="E10" s="3">
        <f t="shared" si="0"/>
        <v>18.181818181818183</v>
      </c>
      <c r="F10" cm="1">
        <f t="array" ref="F10">IF(AND(E10&gt;=0,E10&lt;=10),0,IF(AND(E10&gt;10,E10&lt;=20),1, IF(AND(E10&gt;20,E10&lt;=30),2,IF(AND(E10&gt;30,E10&lt;=40),3, IF(AND(E10&gt;40,E10&lt;=50),4,”5”)))))</f>
        <v>1</v>
      </c>
    </row>
    <row r="11" spans="1:6" x14ac:dyDescent="0.3">
      <c r="A11" s="5">
        <v>10</v>
      </c>
      <c r="B11" s="2" t="s">
        <v>14</v>
      </c>
      <c r="C11">
        <v>928</v>
      </c>
      <c r="D11">
        <v>5069</v>
      </c>
      <c r="E11" s="3">
        <f t="shared" si="0"/>
        <v>18.307358453343856</v>
      </c>
      <c r="F11" cm="1">
        <f t="array" ref="F11">IF(AND(E11&gt;=0,E11&lt;=10),0,IF(AND(E11&gt;10,E11&lt;=20),1, IF(AND(E11&gt;20,E11&lt;=30),2,IF(AND(E11&gt;30,E11&lt;=40),3, IF(AND(E11&gt;40,E11&lt;=50),4,”5”)))))</f>
        <v>1</v>
      </c>
    </row>
    <row r="12" spans="1:6" x14ac:dyDescent="0.3">
      <c r="A12" s="5">
        <v>11</v>
      </c>
      <c r="B12" s="2" t="s">
        <v>96</v>
      </c>
      <c r="C12">
        <v>760</v>
      </c>
      <c r="D12">
        <v>3063</v>
      </c>
      <c r="E12" s="3">
        <f t="shared" si="0"/>
        <v>24.812275546849495</v>
      </c>
      <c r="F12" cm="1">
        <f t="array" ref="F12">IF(AND(E12&gt;=0,E12&lt;=10),0,IF(AND(E12&gt;10,E12&lt;=20),1, IF(AND(E12&gt;20,E12&lt;=30),2,IF(AND(E12&gt;30,E12&lt;=40),3, IF(AND(E12&gt;40,E12&lt;=50),4,”5”)))))</f>
        <v>2</v>
      </c>
    </row>
    <row r="13" spans="1:6" x14ac:dyDescent="0.3">
      <c r="A13" s="5">
        <v>12</v>
      </c>
      <c r="B13" s="2" t="s">
        <v>97</v>
      </c>
      <c r="C13">
        <v>911</v>
      </c>
      <c r="D13">
        <v>3100</v>
      </c>
      <c r="E13" s="3">
        <f t="shared" si="0"/>
        <v>29.387096774193548</v>
      </c>
      <c r="F13" cm="1">
        <f t="array" ref="F13">IF(AND(E13&gt;=0,E13&lt;=10),0,IF(AND(E13&gt;10,E13&lt;=20),1, IF(AND(E13&gt;20,E13&lt;=30),2,IF(AND(E13&gt;30,E13&lt;=40),3, IF(AND(E13&gt;40,E13&lt;=50),4,”5”)))))</f>
        <v>2</v>
      </c>
    </row>
    <row r="14" spans="1:6" x14ac:dyDescent="0.3">
      <c r="A14" s="5">
        <v>13</v>
      </c>
      <c r="B14" s="2" t="s">
        <v>77</v>
      </c>
      <c r="C14">
        <v>929</v>
      </c>
      <c r="D14">
        <v>3392</v>
      </c>
      <c r="E14" s="3">
        <f t="shared" si="0"/>
        <v>27.387971698113205</v>
      </c>
      <c r="F14" cm="1">
        <f t="array" ref="F14">IF(AND(E14&gt;=0,E14&lt;=10),0,IF(AND(E14&gt;10,E14&lt;=20),1, IF(AND(E14&gt;20,E14&lt;=30),2,IF(AND(E14&gt;30,E14&lt;=40),3, IF(AND(E14&gt;40,E14&lt;=50),4,”5”)))))</f>
        <v>2</v>
      </c>
    </row>
    <row r="15" spans="1:6" x14ac:dyDescent="0.3">
      <c r="A15" s="5">
        <v>14</v>
      </c>
      <c r="B15" s="2" t="s">
        <v>46</v>
      </c>
      <c r="C15">
        <v>551</v>
      </c>
      <c r="D15">
        <v>2742</v>
      </c>
      <c r="E15" s="3">
        <f t="shared" si="0"/>
        <v>20.094821298322394</v>
      </c>
      <c r="F15" cm="1">
        <f t="array" ref="F15">IF(AND(E15&gt;=0,E15&lt;=10),0,IF(AND(E15&gt;10,E15&lt;=20),1, IF(AND(E15&gt;20,E15&lt;=30),2,IF(AND(E15&gt;30,E15&lt;=40),3, IF(AND(E15&gt;40,E15&lt;=50),4,”5”)))))</f>
        <v>2</v>
      </c>
    </row>
    <row r="16" spans="1:6" x14ac:dyDescent="0.3">
      <c r="A16" s="5">
        <v>15</v>
      </c>
      <c r="B16" s="2" t="s">
        <v>48</v>
      </c>
      <c r="C16">
        <v>780</v>
      </c>
      <c r="D16">
        <v>3997</v>
      </c>
      <c r="E16" s="3">
        <f t="shared" si="0"/>
        <v>19.514635976982735</v>
      </c>
      <c r="F16" cm="1">
        <f t="array" ref="F16">IF(AND(E16&gt;=0,E16&lt;=10),0,IF(AND(E16&gt;10,E16&lt;=20),1, IF(AND(E16&gt;20,E16&lt;=30),2,IF(AND(E16&gt;30,E16&lt;=40),3, IF(AND(E16&gt;40,E16&lt;=50),4,”5”)))))</f>
        <v>1</v>
      </c>
    </row>
    <row r="17" spans="1:6" x14ac:dyDescent="0.3">
      <c r="A17" s="5">
        <v>16</v>
      </c>
      <c r="B17" s="2" t="s">
        <v>47</v>
      </c>
      <c r="C17">
        <v>946</v>
      </c>
      <c r="D17">
        <v>4399</v>
      </c>
      <c r="E17" s="3">
        <f t="shared" si="0"/>
        <v>21.504887474426006</v>
      </c>
      <c r="F17" cm="1">
        <f t="array" ref="F17">IF(AND(E17&gt;=0,E17&lt;=10),0,IF(AND(E17&gt;10,E17&lt;=20),1, IF(AND(E17&gt;20,E17&lt;=30),2,IF(AND(E17&gt;30,E17&lt;=40),3, IF(AND(E17&gt;40,E17&lt;=50),4,”5”)))))</f>
        <v>2</v>
      </c>
    </row>
    <row r="18" spans="1:6" x14ac:dyDescent="0.3">
      <c r="A18" s="5">
        <v>17</v>
      </c>
      <c r="B18" s="2" t="s">
        <v>33</v>
      </c>
      <c r="C18">
        <v>1224</v>
      </c>
      <c r="D18">
        <v>4792</v>
      </c>
      <c r="E18" s="3">
        <f t="shared" si="0"/>
        <v>25.542570951585976</v>
      </c>
      <c r="F18" cm="1">
        <f t="array" ref="F18">IF(AND(E18&gt;=0,E18&lt;=10),0,IF(AND(E18&gt;10,E18&lt;=20),1, IF(AND(E18&gt;20,E18&lt;=30),2,IF(AND(E18&gt;30,E18&lt;=40),3, IF(AND(E18&gt;40,E18&lt;=50),4,”5”)))))</f>
        <v>2</v>
      </c>
    </row>
    <row r="19" spans="1:6" x14ac:dyDescent="0.3">
      <c r="A19" s="5">
        <v>18</v>
      </c>
      <c r="B19" s="2" t="s">
        <v>101</v>
      </c>
      <c r="C19">
        <v>853</v>
      </c>
      <c r="D19">
        <v>3880</v>
      </c>
      <c r="E19" s="3">
        <f t="shared" si="0"/>
        <v>21.984536082474225</v>
      </c>
      <c r="F19" cm="1">
        <f t="array" ref="F19">IF(AND(E19&gt;=0,E19&lt;=10),0,IF(AND(E19&gt;10,E19&lt;=20),1, IF(AND(E19&gt;20,E19&lt;=30),2,IF(AND(E19&gt;30,E19&lt;=40),3, IF(AND(E19&gt;40,E19&lt;=50),4,”5”)))))</f>
        <v>2</v>
      </c>
    </row>
    <row r="20" spans="1:6" x14ac:dyDescent="0.3">
      <c r="A20" s="5">
        <v>19</v>
      </c>
      <c r="B20" s="2" t="s">
        <v>127</v>
      </c>
      <c r="C20">
        <v>522</v>
      </c>
      <c r="D20">
        <v>3062</v>
      </c>
      <c r="E20" s="3">
        <f t="shared" si="0"/>
        <v>17.047681254082299</v>
      </c>
      <c r="F20" cm="1">
        <f t="array" ref="F20">IF(AND(E20&gt;=0,E20&lt;=10),0,IF(AND(E20&gt;10,E20&lt;=20),1, IF(AND(E20&gt;20,E20&lt;=30),2,IF(AND(E20&gt;30,E20&lt;=40),3, IF(AND(E20&gt;40,E20&lt;=50),4,”5”)))))</f>
        <v>1</v>
      </c>
    </row>
    <row r="21" spans="1:6" x14ac:dyDescent="0.3">
      <c r="A21" s="5">
        <v>22</v>
      </c>
      <c r="B21" s="2" t="s">
        <v>55</v>
      </c>
      <c r="C21">
        <v>649</v>
      </c>
      <c r="D21">
        <v>2988</v>
      </c>
      <c r="E21" s="3">
        <f t="shared" si="0"/>
        <v>21.72021419009371</v>
      </c>
      <c r="F21" cm="1">
        <f t="array" ref="F21">IF(AND(E21&gt;=0,E21&lt;=10),0,IF(AND(E21&gt;10,E21&lt;=20),1, IF(AND(E21&gt;20,E21&lt;=30),2,IF(AND(E21&gt;30,E21&lt;=40),3, IF(AND(E21&gt;40,E21&lt;=50),4,”5”)))))</f>
        <v>2</v>
      </c>
    </row>
    <row r="22" spans="1:6" x14ac:dyDescent="0.3">
      <c r="A22" s="5">
        <v>23</v>
      </c>
      <c r="B22" s="2" t="s">
        <v>32</v>
      </c>
      <c r="C22">
        <v>904</v>
      </c>
      <c r="D22">
        <v>3184</v>
      </c>
      <c r="E22" s="3">
        <f t="shared" si="0"/>
        <v>28.391959798994975</v>
      </c>
      <c r="F22" cm="1">
        <f t="array" ref="F22">IF(AND(E22&gt;=0,E22&lt;=10),0,IF(AND(E22&gt;10,E22&lt;=20),1, IF(AND(E22&gt;20,E22&lt;=30),2,IF(AND(E22&gt;30,E22&lt;=40),3, IF(AND(E22&gt;40,E22&lt;=50),4,”5”)))))</f>
        <v>2</v>
      </c>
    </row>
    <row r="23" spans="1:6" x14ac:dyDescent="0.3">
      <c r="A23" s="5">
        <v>24</v>
      </c>
      <c r="B23" s="2" t="s">
        <v>59</v>
      </c>
      <c r="C23">
        <v>786</v>
      </c>
      <c r="D23">
        <v>2552</v>
      </c>
      <c r="E23" s="3">
        <f t="shared" si="0"/>
        <v>30.799373040752354</v>
      </c>
      <c r="F23" cm="1">
        <f t="array" ref="F23">IF(AND(E23&gt;=0,E23&lt;=10),0,IF(AND(E23&gt;10,E23&lt;=20),1, IF(AND(E23&gt;20,E23&lt;=30),2,IF(AND(E23&gt;30,E23&lt;=40),3, IF(AND(E23&gt;40,E23&lt;=50),4,”5”)))))</f>
        <v>3</v>
      </c>
    </row>
    <row r="24" spans="1:6" x14ac:dyDescent="0.3">
      <c r="A24" s="5">
        <v>25</v>
      </c>
      <c r="B24" s="2" t="s">
        <v>30</v>
      </c>
      <c r="C24">
        <v>932</v>
      </c>
      <c r="D24">
        <v>2987</v>
      </c>
      <c r="E24" s="3">
        <f t="shared" si="0"/>
        <v>31.201874790759959</v>
      </c>
      <c r="F24" cm="1">
        <f t="array" ref="F24">IF(AND(E24&gt;=0,E24&lt;=10),0,IF(AND(E24&gt;10,E24&lt;=20),1, IF(AND(E24&gt;20,E24&lt;=30),2,IF(AND(E24&gt;30,E24&lt;=40),3, IF(AND(E24&gt;40,E24&lt;=50),4,”5”)))))</f>
        <v>3</v>
      </c>
    </row>
    <row r="25" spans="1:6" x14ac:dyDescent="0.3">
      <c r="A25" s="5">
        <v>26</v>
      </c>
      <c r="B25" s="2" t="s">
        <v>111</v>
      </c>
      <c r="C25">
        <v>1053</v>
      </c>
      <c r="D25">
        <v>3290</v>
      </c>
      <c r="E25" s="3">
        <f t="shared" si="0"/>
        <v>32.006079027355625</v>
      </c>
      <c r="F25" cm="1">
        <f t="array" ref="F25">IF(AND(E25&gt;=0,E25&lt;=10),0,IF(AND(E25&gt;10,E25&lt;=20),1, IF(AND(E25&gt;20,E25&lt;=30),2,IF(AND(E25&gt;30,E25&lt;=40),3, IF(AND(E25&gt;40,E25&lt;=50),4,”5”)))))</f>
        <v>3</v>
      </c>
    </row>
    <row r="26" spans="1:6" x14ac:dyDescent="0.3">
      <c r="A26" s="5">
        <v>27</v>
      </c>
      <c r="B26" s="2" t="s">
        <v>24</v>
      </c>
      <c r="C26">
        <v>554</v>
      </c>
      <c r="D26">
        <v>2148</v>
      </c>
      <c r="E26" s="3">
        <f t="shared" si="0"/>
        <v>25.791433891992551</v>
      </c>
      <c r="F26" cm="1">
        <f t="array" ref="F26">IF(AND(E26&gt;=0,E26&lt;=10),0,IF(AND(E26&gt;10,E26&lt;=20),1, IF(AND(E26&gt;20,E26&lt;=30),2,IF(AND(E26&gt;30,E26&lt;=40),3, IF(AND(E26&gt;40,E26&lt;=50),4,”5”)))))</f>
        <v>2</v>
      </c>
    </row>
    <row r="27" spans="1:6" x14ac:dyDescent="0.3">
      <c r="A27" s="5">
        <v>28</v>
      </c>
      <c r="B27" s="2" t="s">
        <v>112</v>
      </c>
      <c r="C27">
        <v>907</v>
      </c>
      <c r="D27">
        <v>2559</v>
      </c>
      <c r="E27" s="3">
        <f t="shared" si="0"/>
        <v>35.443532629933564</v>
      </c>
      <c r="F27" cm="1">
        <f t="array" ref="F27">IF(AND(E27&gt;=0,E27&lt;=10),0,IF(AND(E27&gt;10,E27&lt;=20),1, IF(AND(E27&gt;20,E27&lt;=30),2,IF(AND(E27&gt;30,E27&lt;=40),3, IF(AND(E27&gt;40,E27&lt;=50),4,”5”)))))</f>
        <v>3</v>
      </c>
    </row>
    <row r="28" spans="1:6" x14ac:dyDescent="0.3">
      <c r="A28" s="5">
        <v>29</v>
      </c>
      <c r="B28" s="2" t="s">
        <v>70</v>
      </c>
      <c r="C28">
        <v>966</v>
      </c>
      <c r="D28">
        <v>3283</v>
      </c>
      <c r="E28" s="3">
        <f t="shared" si="0"/>
        <v>29.424307036247331</v>
      </c>
      <c r="F28" cm="1">
        <f t="array" ref="F28">IF(AND(E28&gt;=0,E28&lt;=10),0,IF(AND(E28&gt;10,E28&lt;=20),1, IF(AND(E28&gt;20,E28&lt;=30),2,IF(AND(E28&gt;30,E28&lt;=40),3, IF(AND(E28&gt;40,E28&lt;=50),4,”5”)))))</f>
        <v>2</v>
      </c>
    </row>
    <row r="29" spans="1:6" x14ac:dyDescent="0.3">
      <c r="A29" s="5">
        <v>30</v>
      </c>
      <c r="B29" s="2" t="s">
        <v>68</v>
      </c>
      <c r="C29">
        <v>848</v>
      </c>
      <c r="D29">
        <v>2973</v>
      </c>
      <c r="E29" s="3">
        <f t="shared" si="0"/>
        <v>28.523377060208542</v>
      </c>
      <c r="F29" cm="1">
        <f t="array" ref="F29">IF(AND(E29&gt;=0,E29&lt;=10),0,IF(AND(E29&gt;10,E29&lt;=20),1, IF(AND(E29&gt;20,E29&lt;=30),2,IF(AND(E29&gt;30,E29&lt;=40),3, IF(AND(E29&gt;40,E29&lt;=50),4,”5”)))))</f>
        <v>2</v>
      </c>
    </row>
    <row r="30" spans="1:6" x14ac:dyDescent="0.3">
      <c r="A30" s="5">
        <v>31</v>
      </c>
      <c r="B30" s="2" t="s">
        <v>106</v>
      </c>
      <c r="C30">
        <v>1039</v>
      </c>
      <c r="D30">
        <v>2927</v>
      </c>
      <c r="E30" s="3">
        <f t="shared" si="0"/>
        <v>35.497096002733173</v>
      </c>
      <c r="F30" cm="1">
        <f t="array" ref="F30">IF(AND(E30&gt;=0,E30&lt;=10),0,IF(AND(E30&gt;10,E30&lt;=20),1, IF(AND(E30&gt;20,E30&lt;=30),2,IF(AND(E30&gt;30,E30&lt;=40),3, IF(AND(E30&gt;40,E30&lt;=50),4,”5”)))))</f>
        <v>3</v>
      </c>
    </row>
    <row r="31" spans="1:6" x14ac:dyDescent="0.3">
      <c r="A31" s="5">
        <v>32</v>
      </c>
      <c r="B31" s="2" t="s">
        <v>105</v>
      </c>
      <c r="C31">
        <v>1349</v>
      </c>
      <c r="D31">
        <v>3215</v>
      </c>
      <c r="E31" s="3">
        <f t="shared" si="0"/>
        <v>41.959564541213062</v>
      </c>
      <c r="F31" cm="1">
        <f t="array" ref="F31">IF(AND(E31&gt;=0,E31&lt;=10),0,IF(AND(E31&gt;10,E31&lt;=20),1, IF(AND(E31&gt;20,E31&lt;=30),2,IF(AND(E31&gt;30,E31&lt;=40),3, IF(AND(E31&gt;40,E31&lt;=50),4,”5”)))))</f>
        <v>4</v>
      </c>
    </row>
    <row r="32" spans="1:6" x14ac:dyDescent="0.3">
      <c r="A32" s="5">
        <v>33</v>
      </c>
      <c r="B32" s="2" t="s">
        <v>60</v>
      </c>
      <c r="C32">
        <v>1117</v>
      </c>
      <c r="D32">
        <v>2722</v>
      </c>
      <c r="E32" s="3">
        <f t="shared" si="0"/>
        <v>41.036002939015432</v>
      </c>
      <c r="F32" cm="1">
        <f t="array" ref="F32">IF(AND(E32&gt;=0,E32&lt;=10),0,IF(AND(E32&gt;10,E32&lt;=20),1, IF(AND(E32&gt;20,E32&lt;=30),2,IF(AND(E32&gt;30,E32&lt;=40),3, IF(AND(E32&gt;40,E32&lt;=50),4,”5”)))))</f>
        <v>4</v>
      </c>
    </row>
    <row r="33" spans="1:6" x14ac:dyDescent="0.3">
      <c r="A33" s="5">
        <v>35</v>
      </c>
      <c r="B33" s="2" t="s">
        <v>131</v>
      </c>
      <c r="C33">
        <v>1129</v>
      </c>
      <c r="D33">
        <v>3195</v>
      </c>
      <c r="E33" s="3">
        <f t="shared" si="0"/>
        <v>35.33646322378717</v>
      </c>
      <c r="F33" cm="1">
        <f t="array" ref="F33">IF(AND(E33&gt;=0,E33&lt;=10),0,IF(AND(E33&gt;10,E33&lt;=20),1, IF(AND(E33&gt;20,E33&lt;=30),2,IF(AND(E33&gt;30,E33&lt;=40),3, IF(AND(E33&gt;40,E33&lt;=50),4,”5”)))))</f>
        <v>3</v>
      </c>
    </row>
    <row r="34" spans="1:6" x14ac:dyDescent="0.3">
      <c r="A34" s="5">
        <v>36</v>
      </c>
      <c r="B34" s="2" t="s">
        <v>56</v>
      </c>
      <c r="C34">
        <v>528</v>
      </c>
      <c r="D34">
        <v>2245</v>
      </c>
      <c r="E34" s="3">
        <f t="shared" si="0"/>
        <v>23.518930957683743</v>
      </c>
      <c r="F34" cm="1">
        <f t="array" ref="F34">IF(AND(E34&gt;=0,E34&lt;=10),0,IF(AND(E34&gt;10,E34&lt;=20),1, IF(AND(E34&gt;20,E34&lt;=30),2,IF(AND(E34&gt;30,E34&lt;=40),3, IF(AND(E34&gt;40,E34&lt;=50),4,”5”)))))</f>
        <v>2</v>
      </c>
    </row>
    <row r="35" spans="1:6" x14ac:dyDescent="0.3">
      <c r="A35" s="5">
        <v>37</v>
      </c>
      <c r="B35" s="2" t="s">
        <v>84</v>
      </c>
      <c r="C35">
        <v>833</v>
      </c>
      <c r="D35">
        <v>2703</v>
      </c>
      <c r="E35" s="3">
        <f t="shared" si="0"/>
        <v>30.817610062893081</v>
      </c>
      <c r="F35" cm="1">
        <f t="array" ref="F35">IF(AND(E35&gt;=0,E35&lt;=10),0,IF(AND(E35&gt;10,E35&lt;=20),1, IF(AND(E35&gt;20,E35&lt;=30),2,IF(AND(E35&gt;30,E35&lt;=40),3, IF(AND(E35&gt;40,E35&lt;=50),4,”5”)))))</f>
        <v>3</v>
      </c>
    </row>
    <row r="36" spans="1:6" x14ac:dyDescent="0.3">
      <c r="A36" s="5">
        <v>38</v>
      </c>
      <c r="B36" s="2" t="s">
        <v>15</v>
      </c>
      <c r="C36">
        <v>559</v>
      </c>
      <c r="D36">
        <v>1521</v>
      </c>
      <c r="E36" s="3">
        <f t="shared" si="0"/>
        <v>36.752136752136757</v>
      </c>
      <c r="F36" cm="1">
        <f t="array" ref="F36">IF(AND(E36&gt;=0,E36&lt;=10),0,IF(AND(E36&gt;10,E36&lt;=20),1, IF(AND(E36&gt;20,E36&lt;=30),2,IF(AND(E36&gt;30,E36&lt;=40),3, IF(AND(E36&gt;40,E36&lt;=50),4,”5”)))))</f>
        <v>3</v>
      </c>
    </row>
    <row r="37" spans="1:6" x14ac:dyDescent="0.3">
      <c r="A37" s="5">
        <v>39</v>
      </c>
      <c r="B37" s="2" t="s">
        <v>118</v>
      </c>
      <c r="C37">
        <v>904</v>
      </c>
      <c r="D37">
        <v>2798</v>
      </c>
      <c r="E37" s="3">
        <f t="shared" si="0"/>
        <v>32.308791994281627</v>
      </c>
      <c r="F37" cm="1">
        <f t="array" ref="F37">IF(AND(E37&gt;=0,E37&lt;=10),0,IF(AND(E37&gt;10,E37&lt;=20),1, IF(AND(E37&gt;20,E37&lt;=30),2,IF(AND(E37&gt;30,E37&lt;=40),3, IF(AND(E37&gt;40,E37&lt;=50),4,”5”)))))</f>
        <v>3</v>
      </c>
    </row>
    <row r="38" spans="1:6" x14ac:dyDescent="0.3">
      <c r="A38" s="5">
        <v>40</v>
      </c>
      <c r="B38" s="2" t="s">
        <v>123</v>
      </c>
      <c r="C38">
        <v>1058</v>
      </c>
      <c r="D38">
        <v>3118</v>
      </c>
      <c r="E38" s="3">
        <f t="shared" si="0"/>
        <v>33.932007697241822</v>
      </c>
      <c r="F38" cm="1">
        <f t="array" ref="F38">IF(AND(E38&gt;=0,E38&lt;=10),0,IF(AND(E38&gt;10,E38&lt;=20),1, IF(AND(E38&gt;20,E38&lt;=30),2,IF(AND(E38&gt;30,E38&lt;=40),3, IF(AND(E38&gt;40,E38&lt;=50),4,”5”)))))</f>
        <v>3</v>
      </c>
    </row>
    <row r="39" spans="1:6" x14ac:dyDescent="0.3">
      <c r="A39" s="5">
        <v>41</v>
      </c>
      <c r="B39" s="2" t="s">
        <v>22</v>
      </c>
      <c r="C39">
        <v>1143</v>
      </c>
      <c r="D39">
        <v>2694</v>
      </c>
      <c r="E39" s="3">
        <f t="shared" si="0"/>
        <v>42.42761692650334</v>
      </c>
      <c r="F39" cm="1">
        <f t="array" ref="F39">IF(AND(E39&gt;=0,E39&lt;=10),0,IF(AND(E39&gt;10,E39&lt;=20),1, IF(AND(E39&gt;20,E39&lt;=30),2,IF(AND(E39&gt;30,E39&lt;=40),3, IF(AND(E39&gt;40,E39&lt;=50),4,”5”)))))</f>
        <v>4</v>
      </c>
    </row>
    <row r="40" spans="1:6" x14ac:dyDescent="0.3">
      <c r="A40" s="5">
        <v>42</v>
      </c>
      <c r="B40" s="2" t="s">
        <v>26</v>
      </c>
      <c r="C40">
        <v>1125</v>
      </c>
      <c r="D40">
        <v>3316</v>
      </c>
      <c r="E40" s="3">
        <f t="shared" si="0"/>
        <v>33.926417370325694</v>
      </c>
      <c r="F40" cm="1">
        <f t="array" ref="F40">IF(AND(E40&gt;=0,E40&lt;=10),0,IF(AND(E40&gt;10,E40&lt;=20),1, IF(AND(E40&gt;20,E40&lt;=30),2,IF(AND(E40&gt;30,E40&lt;=40),3, IF(AND(E40&gt;40,E40&lt;=50),4,”5”)))))</f>
        <v>3</v>
      </c>
    </row>
    <row r="41" spans="1:6" x14ac:dyDescent="0.3">
      <c r="A41" s="5">
        <v>43</v>
      </c>
      <c r="B41" s="2" t="s">
        <v>25</v>
      </c>
      <c r="C41">
        <v>821</v>
      </c>
      <c r="D41">
        <v>3089</v>
      </c>
      <c r="E41" s="3">
        <f t="shared" si="0"/>
        <v>26.57818064098414</v>
      </c>
      <c r="F41" cm="1">
        <f t="array" ref="F41">IF(AND(E41&gt;=0,E41&lt;=10),0,IF(AND(E41&gt;10,E41&lt;=20),1, IF(AND(E41&gt;20,E41&lt;=30),2,IF(AND(E41&gt;30,E41&lt;=40),3, IF(AND(E41&gt;40,E41&lt;=50),4,”5”)))))</f>
        <v>2</v>
      </c>
    </row>
    <row r="42" spans="1:6" x14ac:dyDescent="0.3">
      <c r="A42" s="5">
        <v>44</v>
      </c>
      <c r="B42" s="2" t="s">
        <v>69</v>
      </c>
      <c r="C42">
        <v>443</v>
      </c>
      <c r="D42">
        <v>1894</v>
      </c>
      <c r="E42" s="3">
        <f t="shared" si="0"/>
        <v>23.389651531151003</v>
      </c>
      <c r="F42" cm="1">
        <f t="array" ref="F42">IF(AND(E42&gt;=0,E42&lt;=10),0,IF(AND(E42&gt;10,E42&lt;=20),1, IF(AND(E42&gt;20,E42&lt;=30),2,IF(AND(E42&gt;30,E42&lt;=40),3, IF(AND(E42&gt;40,E42&lt;=50),4,”5”)))))</f>
        <v>2</v>
      </c>
    </row>
    <row r="43" spans="1:6" x14ac:dyDescent="0.3">
      <c r="A43" s="5">
        <v>45</v>
      </c>
      <c r="B43" s="2" t="s">
        <v>122</v>
      </c>
      <c r="C43">
        <v>639</v>
      </c>
      <c r="D43">
        <v>2251</v>
      </c>
      <c r="E43" s="3">
        <f t="shared" si="0"/>
        <v>28.387383385162153</v>
      </c>
      <c r="F43" cm="1">
        <f t="array" ref="F43">IF(AND(E43&gt;=0,E43&lt;=10),0,IF(AND(E43&gt;10,E43&lt;=20),1, IF(AND(E43&gt;20,E43&lt;=30),2,IF(AND(E43&gt;30,E43&lt;=40),3, IF(AND(E43&gt;40,E43&lt;=50),4,”5”)))))</f>
        <v>2</v>
      </c>
    </row>
    <row r="44" spans="1:6" x14ac:dyDescent="0.3">
      <c r="A44" s="5">
        <v>46</v>
      </c>
      <c r="B44" s="2" t="s">
        <v>103</v>
      </c>
      <c r="C44">
        <v>1093</v>
      </c>
      <c r="D44">
        <v>3213</v>
      </c>
      <c r="E44" s="3">
        <f t="shared" si="0"/>
        <v>34.018051665110491</v>
      </c>
      <c r="F44" cm="1">
        <f t="array" ref="F44">IF(AND(E44&gt;=0,E44&lt;=10),0,IF(AND(E44&gt;10,E44&lt;=20),1, IF(AND(E44&gt;20,E44&lt;=30),2,IF(AND(E44&gt;30,E44&lt;=40),3, IF(AND(E44&gt;40,E44&lt;=50),4,”5”)))))</f>
        <v>3</v>
      </c>
    </row>
    <row r="45" spans="1:6" x14ac:dyDescent="0.3">
      <c r="A45" s="5">
        <v>47</v>
      </c>
      <c r="B45" s="2" t="s">
        <v>61</v>
      </c>
      <c r="C45">
        <v>1074</v>
      </c>
      <c r="D45">
        <v>3388</v>
      </c>
      <c r="E45" s="3">
        <f t="shared" si="0"/>
        <v>31.700118063754427</v>
      </c>
      <c r="F45" cm="1">
        <f t="array" ref="F45">IF(AND(E45&gt;=0,E45&lt;=10),0,IF(AND(E45&gt;10,E45&lt;=20),1, IF(AND(E45&gt;20,E45&lt;=30),2,IF(AND(E45&gt;30,E45&lt;=40),3, IF(AND(E45&gt;40,E45&lt;=50),4,”5”)))))</f>
        <v>3</v>
      </c>
    </row>
    <row r="46" spans="1:6" x14ac:dyDescent="0.3">
      <c r="A46" s="5">
        <v>48</v>
      </c>
      <c r="B46" s="2" t="s">
        <v>119</v>
      </c>
      <c r="C46">
        <v>1161</v>
      </c>
      <c r="D46">
        <v>3529</v>
      </c>
      <c r="E46" s="3">
        <f t="shared" si="0"/>
        <v>32.898838197789743</v>
      </c>
      <c r="F46" cm="1">
        <f t="array" ref="F46">IF(AND(E46&gt;=0,E46&lt;=10),0,IF(AND(E46&gt;10,E46&lt;=20),1, IF(AND(E46&gt;20,E46&lt;=30),2,IF(AND(E46&gt;30,E46&lt;=40),3, IF(AND(E46&gt;40,E46&lt;=50),4,”5”)))))</f>
        <v>3</v>
      </c>
    </row>
    <row r="47" spans="1:6" x14ac:dyDescent="0.3">
      <c r="A47" s="5">
        <v>49</v>
      </c>
      <c r="B47" s="2" t="s">
        <v>117</v>
      </c>
      <c r="C47">
        <v>1183</v>
      </c>
      <c r="D47">
        <v>4026</v>
      </c>
      <c r="E47" s="3">
        <f t="shared" si="0"/>
        <v>29.384003974167911</v>
      </c>
      <c r="F47" cm="1">
        <f t="array" ref="F47">IF(AND(E47&gt;=0,E47&lt;=10),0,IF(AND(E47&gt;10,E47&lt;=20),1, IF(AND(E47&gt;20,E47&lt;=30),2,IF(AND(E47&gt;30,E47&lt;=40),3, IF(AND(E47&gt;40,E47&lt;=50),4,”5”)))))</f>
        <v>2</v>
      </c>
    </row>
    <row r="48" spans="1:6" x14ac:dyDescent="0.3">
      <c r="A48" s="5">
        <v>50</v>
      </c>
      <c r="B48" s="2" t="s">
        <v>75</v>
      </c>
      <c r="C48">
        <v>1024</v>
      </c>
      <c r="D48">
        <v>3254</v>
      </c>
      <c r="E48" s="3">
        <f t="shared" si="0"/>
        <v>31.468961278426548</v>
      </c>
      <c r="F48" cm="1">
        <f t="array" ref="F48">IF(AND(E48&gt;=0,E48&lt;=10),0,IF(AND(E48&gt;10,E48&lt;=20),1, IF(AND(E48&gt;20,E48&lt;=30),2,IF(AND(E48&gt;30,E48&lt;=40),3, IF(AND(E48&gt;40,E48&lt;=50),4,”5”)))))</f>
        <v>3</v>
      </c>
    </row>
    <row r="49" spans="1:6" x14ac:dyDescent="0.3">
      <c r="A49" s="5">
        <v>51</v>
      </c>
      <c r="B49" s="2" t="s">
        <v>82</v>
      </c>
      <c r="C49">
        <v>1071</v>
      </c>
      <c r="D49">
        <v>2949</v>
      </c>
      <c r="E49" s="3">
        <f t="shared" si="0"/>
        <v>36.317395727365209</v>
      </c>
      <c r="F49" cm="1">
        <f t="array" ref="F49">IF(AND(E49&gt;=0,E49&lt;=10),0,IF(AND(E49&gt;10,E49&lt;=20),1, IF(AND(E49&gt;20,E49&lt;=30),2,IF(AND(E49&gt;30,E49&lt;=40),3, IF(AND(E49&gt;40,E49&lt;=50),4,”5”)))))</f>
        <v>3</v>
      </c>
    </row>
    <row r="50" spans="1:6" x14ac:dyDescent="0.3">
      <c r="A50" s="5">
        <v>52</v>
      </c>
      <c r="B50" s="2" t="s">
        <v>50</v>
      </c>
      <c r="C50">
        <v>951</v>
      </c>
      <c r="D50">
        <v>2597</v>
      </c>
      <c r="E50" s="3">
        <f t="shared" si="0"/>
        <v>36.619175972275706</v>
      </c>
      <c r="F50" cm="1">
        <f t="array" ref="F50">IF(AND(E50&gt;=0,E50&lt;=10),0,IF(AND(E50&gt;10,E50&lt;=20),1, IF(AND(E50&gt;20,E50&lt;=30),2,IF(AND(E50&gt;30,E50&lt;=40),3, IF(AND(E50&gt;40,E50&lt;=50),4,”5”)))))</f>
        <v>3</v>
      </c>
    </row>
    <row r="51" spans="1:6" x14ac:dyDescent="0.3">
      <c r="A51" s="5">
        <v>53</v>
      </c>
      <c r="B51" s="2" t="s">
        <v>76</v>
      </c>
      <c r="C51">
        <v>1091</v>
      </c>
      <c r="D51">
        <v>3213</v>
      </c>
      <c r="E51" s="3">
        <f t="shared" si="0"/>
        <v>33.955804544039836</v>
      </c>
      <c r="F51" cm="1">
        <f t="array" ref="F51">IF(AND(E51&gt;=0,E51&lt;=10),0,IF(AND(E51&gt;10,E51&lt;=20),1, IF(AND(E51&gt;20,E51&lt;=30),2,IF(AND(E51&gt;30,E51&lt;=40),3, IF(AND(E51&gt;40,E51&lt;=50),4,”5”)))))</f>
        <v>3</v>
      </c>
    </row>
    <row r="52" spans="1:6" x14ac:dyDescent="0.3">
      <c r="A52" s="5">
        <v>54</v>
      </c>
      <c r="B52" s="2" t="s">
        <v>57</v>
      </c>
      <c r="C52">
        <v>1179</v>
      </c>
      <c r="D52">
        <v>3376</v>
      </c>
      <c r="E52" s="3">
        <f t="shared" si="0"/>
        <v>34.922985781990526</v>
      </c>
      <c r="F52" cm="1">
        <f t="array" ref="F52">IF(AND(E52&gt;=0,E52&lt;=10),0,IF(AND(E52&gt;10,E52&lt;=20),1, IF(AND(E52&gt;20,E52&lt;=30),2,IF(AND(E52&gt;30,E52&lt;=40),3, IF(AND(E52&gt;40,E52&lt;=50),4,”5”)))))</f>
        <v>3</v>
      </c>
    </row>
    <row r="53" spans="1:6" x14ac:dyDescent="0.3">
      <c r="A53" s="5">
        <v>57</v>
      </c>
      <c r="B53" s="2" t="s">
        <v>121</v>
      </c>
      <c r="C53">
        <v>1078</v>
      </c>
      <c r="D53">
        <v>3306</v>
      </c>
      <c r="E53" s="3">
        <f t="shared" si="0"/>
        <v>32.607380520266183</v>
      </c>
      <c r="F53" cm="1">
        <f t="array" ref="F53">IF(AND(E53&gt;=0,E53&lt;=10),0,IF(AND(E53&gt;10,E53&lt;=20),1, IF(AND(E53&gt;20,E53&lt;=30),2,IF(AND(E53&gt;30,E53&lt;=40),3, IF(AND(E53&gt;40,E53&lt;=50),4,”5”)))))</f>
        <v>3</v>
      </c>
    </row>
    <row r="54" spans="1:6" x14ac:dyDescent="0.3">
      <c r="A54" s="5">
        <v>58</v>
      </c>
      <c r="B54" s="2" t="s">
        <v>104</v>
      </c>
      <c r="C54">
        <v>658</v>
      </c>
      <c r="D54">
        <v>2290</v>
      </c>
      <c r="E54" s="3">
        <f t="shared" si="0"/>
        <v>28.733624454148472</v>
      </c>
      <c r="F54" cm="1">
        <f t="array" ref="F54">IF(AND(E54&gt;=0,E54&lt;=10),0,IF(AND(E54&gt;10,E54&lt;=20),1, IF(AND(E54&gt;20,E54&lt;=30),2,IF(AND(E54&gt;30,E54&lt;=40),3, IF(AND(E54&gt;40,E54&lt;=50),4,”5”)))))</f>
        <v>2</v>
      </c>
    </row>
    <row r="55" spans="1:6" x14ac:dyDescent="0.3">
      <c r="A55" s="5">
        <v>59</v>
      </c>
      <c r="B55" s="2" t="s">
        <v>71</v>
      </c>
      <c r="C55">
        <v>1109</v>
      </c>
      <c r="D55">
        <v>3517</v>
      </c>
      <c r="E55" s="3">
        <f t="shared" si="0"/>
        <v>31.532556155814618</v>
      </c>
      <c r="F55" cm="1">
        <f t="array" ref="F55">IF(AND(E55&gt;=0,E55&lt;=10),0,IF(AND(E55&gt;10,E55&lt;=20),1, IF(AND(E55&gt;20,E55&lt;=30),2,IF(AND(E55&gt;30,E55&lt;=40),3, IF(AND(E55&gt;40,E55&lt;=50),4,”5”)))))</f>
        <v>3</v>
      </c>
    </row>
    <row r="56" spans="1:6" x14ac:dyDescent="0.3">
      <c r="A56" s="5">
        <v>60</v>
      </c>
      <c r="B56" s="2" t="s">
        <v>72</v>
      </c>
      <c r="C56">
        <v>817</v>
      </c>
      <c r="D56">
        <v>2998</v>
      </c>
      <c r="E56" s="3">
        <f t="shared" si="0"/>
        <v>27.251501000667112</v>
      </c>
      <c r="F56" cm="1">
        <f t="array" ref="F56">IF(AND(E56&gt;=0,E56&lt;=10),0,IF(AND(E56&gt;10,E56&lt;=20),1, IF(AND(E56&gt;20,E56&lt;=30),2,IF(AND(E56&gt;30,E56&lt;=40),3, IF(AND(E56&gt;40,E56&lt;=50),4,”5”)))))</f>
        <v>2</v>
      </c>
    </row>
    <row r="57" spans="1:6" x14ac:dyDescent="0.3">
      <c r="A57" s="5">
        <v>61</v>
      </c>
      <c r="B57" s="2" t="s">
        <v>114</v>
      </c>
      <c r="C57">
        <v>960</v>
      </c>
      <c r="D57">
        <v>3833</v>
      </c>
      <c r="E57" s="3">
        <f t="shared" si="0"/>
        <v>25.045656144012522</v>
      </c>
      <c r="F57" cm="1">
        <f t="array" ref="F57">IF(AND(E57&gt;=0,E57&lt;=10),0,IF(AND(E57&gt;10,E57&lt;=20),1, IF(AND(E57&gt;20,E57&lt;=30),2,IF(AND(E57&gt;30,E57&lt;=40),3, IF(AND(E57&gt;40,E57&lt;=50),4,”5”)))))</f>
        <v>2</v>
      </c>
    </row>
    <row r="58" spans="1:6" x14ac:dyDescent="0.3">
      <c r="A58" s="5">
        <v>62</v>
      </c>
      <c r="B58" s="2" t="s">
        <v>115</v>
      </c>
      <c r="C58">
        <v>834</v>
      </c>
      <c r="D58">
        <v>3540</v>
      </c>
      <c r="E58" s="3">
        <f t="shared" si="0"/>
        <v>23.559322033898304</v>
      </c>
      <c r="F58" cm="1">
        <f t="array" ref="F58">IF(AND(E58&gt;=0,E58&lt;=10),0,IF(AND(E58&gt;10,E58&lt;=20),1, IF(AND(E58&gt;20,E58&lt;=30),2,IF(AND(E58&gt;30,E58&lt;=40),3, IF(AND(E58&gt;40,E58&lt;=50),4,”5”)))))</f>
        <v>2</v>
      </c>
    </row>
    <row r="59" spans="1:6" x14ac:dyDescent="0.3">
      <c r="A59" s="5">
        <v>63</v>
      </c>
      <c r="B59" s="2" t="s">
        <v>65</v>
      </c>
      <c r="C59">
        <v>822</v>
      </c>
      <c r="D59">
        <v>3255</v>
      </c>
      <c r="E59" s="3">
        <f t="shared" si="0"/>
        <v>25.253456221198157</v>
      </c>
      <c r="F59" cm="1">
        <f t="array" ref="F59">IF(AND(E59&gt;=0,E59&lt;=10),0,IF(AND(E59&gt;10,E59&lt;=20),1, IF(AND(E59&gt;20,E59&lt;=30),2,IF(AND(E59&gt;30,E59&lt;=40),3, IF(AND(E59&gt;40,E59&lt;=50),4,”5”)))))</f>
        <v>2</v>
      </c>
    </row>
    <row r="60" spans="1:6" x14ac:dyDescent="0.3">
      <c r="A60" s="5">
        <v>64</v>
      </c>
      <c r="B60" s="2" t="s">
        <v>107</v>
      </c>
      <c r="C60">
        <v>739</v>
      </c>
      <c r="D60">
        <v>2812</v>
      </c>
      <c r="E60" s="3">
        <f t="shared" si="0"/>
        <v>26.28022759601707</v>
      </c>
      <c r="F60" cm="1">
        <f t="array" ref="F60">IF(AND(E60&gt;=0,E60&lt;=10),0,IF(AND(E60&gt;10,E60&lt;=20),1, IF(AND(E60&gt;20,E60&lt;=30),2,IF(AND(E60&gt;30,E60&lt;=40),3, IF(AND(E60&gt;40,E60&lt;=50),4,”5”)))))</f>
        <v>2</v>
      </c>
    </row>
    <row r="61" spans="1:6" x14ac:dyDescent="0.3">
      <c r="A61" s="5">
        <v>67</v>
      </c>
      <c r="B61" s="2" t="s">
        <v>52</v>
      </c>
      <c r="C61">
        <v>762</v>
      </c>
      <c r="D61">
        <v>3169</v>
      </c>
      <c r="E61" s="3">
        <f t="shared" si="0"/>
        <v>24.045440201956453</v>
      </c>
      <c r="F61" cm="1">
        <f t="array" ref="F61">IF(AND(E61&gt;=0,E61&lt;=10),0,IF(AND(E61&gt;10,E61&lt;=20),1, IF(AND(E61&gt;20,E61&lt;=30),2,IF(AND(E61&gt;30,E61&lt;=40),3, IF(AND(E61&gt;40,E61&lt;=50),4,”5”)))))</f>
        <v>2</v>
      </c>
    </row>
    <row r="62" spans="1:6" x14ac:dyDescent="0.3">
      <c r="A62" s="5">
        <v>68</v>
      </c>
      <c r="B62" s="2" t="s">
        <v>52</v>
      </c>
      <c r="C62">
        <v>868</v>
      </c>
      <c r="D62">
        <v>4116</v>
      </c>
      <c r="E62" s="3">
        <f t="shared" si="0"/>
        <v>21.088435374149661</v>
      </c>
      <c r="F62" cm="1">
        <f t="array" ref="F62">IF(AND(E62&gt;=0,E62&lt;=10),0,IF(AND(E62&gt;10,E62&lt;=20),1, IF(AND(E62&gt;20,E62&lt;=30),2,IF(AND(E62&gt;30,E62&lt;=40),3, IF(AND(E62&gt;40,E62&lt;=50),4,”5”)))))</f>
        <v>2</v>
      </c>
    </row>
    <row r="63" spans="1:6" x14ac:dyDescent="0.3">
      <c r="A63" s="5">
        <v>69</v>
      </c>
      <c r="B63" s="2" t="s">
        <v>66</v>
      </c>
      <c r="C63">
        <v>572</v>
      </c>
      <c r="D63">
        <v>2403</v>
      </c>
      <c r="E63" s="3">
        <f t="shared" si="0"/>
        <v>23.803578859758634</v>
      </c>
      <c r="F63" cm="1">
        <f t="array" ref="F63">IF(AND(E63&gt;=0,E63&lt;=10),0,IF(AND(E63&gt;10,E63&lt;=20),1, IF(AND(E63&gt;20,E63&lt;=30),2,IF(AND(E63&gt;30,E63&lt;=40),3, IF(AND(E63&gt;40,E63&lt;=50),4,”5”)))))</f>
        <v>2</v>
      </c>
    </row>
    <row r="64" spans="1:6" x14ac:dyDescent="0.3">
      <c r="A64" s="5">
        <v>70</v>
      </c>
      <c r="B64" s="2" t="s">
        <v>23</v>
      </c>
      <c r="C64">
        <v>917</v>
      </c>
      <c r="D64">
        <v>3611</v>
      </c>
      <c r="E64" s="3">
        <f t="shared" si="0"/>
        <v>25.394627527000829</v>
      </c>
      <c r="F64" cm="1">
        <f t="array" ref="F64">IF(AND(E64&gt;=0,E64&lt;=10),0,IF(AND(E64&gt;10,E64&lt;=20),1, IF(AND(E64&gt;20,E64&lt;=30),2,IF(AND(E64&gt;30,E64&lt;=40),3, IF(AND(E64&gt;40,E64&lt;=50),4,”5”)))))</f>
        <v>2</v>
      </c>
    </row>
    <row r="65" spans="1:6" x14ac:dyDescent="0.3">
      <c r="A65" s="5">
        <v>71</v>
      </c>
      <c r="B65" s="2" t="s">
        <v>62</v>
      </c>
      <c r="C65">
        <v>841</v>
      </c>
      <c r="D65">
        <v>2999</v>
      </c>
      <c r="E65" s="3">
        <f t="shared" si="0"/>
        <v>28.042680893631211</v>
      </c>
      <c r="F65" cm="1">
        <f t="array" ref="F65">IF(AND(E65&gt;=0,E65&lt;=10),0,IF(AND(E65&gt;10,E65&lt;=20),1, IF(AND(E65&gt;20,E65&lt;=30),2,IF(AND(E65&gt;30,E65&lt;=40),3, IF(AND(E65&gt;40,E65&lt;=50),4,”5”)))))</f>
        <v>2</v>
      </c>
    </row>
    <row r="66" spans="1:6" x14ac:dyDescent="0.3">
      <c r="A66" s="5">
        <v>72</v>
      </c>
      <c r="B66" s="2" t="s">
        <v>21</v>
      </c>
      <c r="C66">
        <v>815</v>
      </c>
      <c r="D66">
        <v>3059</v>
      </c>
      <c r="E66" s="3">
        <f t="shared" si="0"/>
        <v>26.642693690748608</v>
      </c>
      <c r="F66" cm="1">
        <f t="array" ref="F66">IF(AND(E66&gt;=0,E66&lt;=10),0,IF(AND(E66&gt;10,E66&lt;=20),1, IF(AND(E66&gt;20,E66&lt;=30),2,IF(AND(E66&gt;30,E66&lt;=40),3, IF(AND(E66&gt;40,E66&lt;=50),4,”5”)))))</f>
        <v>2</v>
      </c>
    </row>
    <row r="67" spans="1:6" x14ac:dyDescent="0.3">
      <c r="A67" s="5">
        <v>73</v>
      </c>
      <c r="B67" s="2" t="s">
        <v>17</v>
      </c>
      <c r="C67">
        <v>1105</v>
      </c>
      <c r="D67">
        <v>3137</v>
      </c>
      <c r="E67" s="3">
        <f t="shared" ref="E67:E130" si="1">(C67/D67)*100</f>
        <v>35.224737009882048</v>
      </c>
      <c r="F67" cm="1">
        <f t="array" ref="F67">IF(AND(E67&gt;=0,E67&lt;=10),0,IF(AND(E67&gt;10,E67&lt;=20),1, IF(AND(E67&gt;20,E67&lt;=30),2,IF(AND(E67&gt;30,E67&lt;=40),3, IF(AND(E67&gt;40,E67&lt;=50),4,”5”)))))</f>
        <v>3</v>
      </c>
    </row>
    <row r="68" spans="1:6" x14ac:dyDescent="0.3">
      <c r="A68" s="5">
        <v>74</v>
      </c>
      <c r="B68" s="2" t="s">
        <v>18</v>
      </c>
      <c r="C68">
        <v>1357</v>
      </c>
      <c r="D68">
        <v>3918</v>
      </c>
      <c r="E68" s="3">
        <f t="shared" si="1"/>
        <v>34.635017866258295</v>
      </c>
      <c r="F68" cm="1">
        <f t="array" ref="F68">IF(AND(E68&gt;=0,E68&lt;=10),0,IF(AND(E68&gt;10,E68&lt;=20),1, IF(AND(E68&gt;20,E68&lt;=30),2,IF(AND(E68&gt;30,E68&lt;=40),3, IF(AND(E68&gt;40,E68&lt;=50),4,”5”)))))</f>
        <v>3</v>
      </c>
    </row>
    <row r="69" spans="1:6" x14ac:dyDescent="0.3">
      <c r="A69" s="5">
        <v>75</v>
      </c>
      <c r="B69" s="2" t="s">
        <v>53</v>
      </c>
      <c r="C69">
        <v>595</v>
      </c>
      <c r="D69">
        <v>1745</v>
      </c>
      <c r="E69" s="3">
        <f t="shared" si="1"/>
        <v>34.097421203438394</v>
      </c>
      <c r="F69" cm="1">
        <f t="array" ref="F69">IF(AND(E69&gt;=0,E69&lt;=10),0,IF(AND(E69&gt;10,E69&lt;=20),1, IF(AND(E69&gt;20,E69&lt;=30),2,IF(AND(E69&gt;30,E69&lt;=40),3, IF(AND(E69&gt;40,E69&lt;=50),4,”5”)))))</f>
        <v>3</v>
      </c>
    </row>
    <row r="70" spans="1:6" x14ac:dyDescent="0.3">
      <c r="A70" s="5">
        <v>76</v>
      </c>
      <c r="B70" s="2" t="s">
        <v>51</v>
      </c>
      <c r="C70">
        <v>1127</v>
      </c>
      <c r="D70">
        <v>2795</v>
      </c>
      <c r="E70" s="3">
        <f t="shared" si="1"/>
        <v>40.322003577817533</v>
      </c>
      <c r="F70" cm="1">
        <f t="array" ref="F70">IF(AND(E70&gt;=0,E70&lt;=10),0,IF(AND(E70&gt;10,E70&lt;=20),1, IF(AND(E70&gt;20,E70&lt;=30),2,IF(AND(E70&gt;30,E70&lt;=40),3, IF(AND(E70&gt;40,E70&lt;=50),4,”5”)))))</f>
        <v>4</v>
      </c>
    </row>
    <row r="71" spans="1:6" x14ac:dyDescent="0.3">
      <c r="A71" s="5">
        <v>77</v>
      </c>
      <c r="B71" s="2" t="s">
        <v>129</v>
      </c>
      <c r="C71">
        <v>1241</v>
      </c>
      <c r="D71">
        <v>3868</v>
      </c>
      <c r="E71" s="3">
        <f t="shared" si="1"/>
        <v>32.083764219234745</v>
      </c>
      <c r="F71" cm="1">
        <f t="array" ref="F71">IF(AND(E71&gt;=0,E71&lt;=10),0,IF(AND(E71&gt;10,E71&lt;=20),1, IF(AND(E71&gt;20,E71&lt;=30),2,IF(AND(E71&gt;30,E71&lt;=40),3, IF(AND(E71&gt;40,E71&lt;=50),4,”5”)))))</f>
        <v>3</v>
      </c>
    </row>
    <row r="72" spans="1:6" x14ac:dyDescent="0.3">
      <c r="A72" s="5">
        <v>78</v>
      </c>
      <c r="B72" s="2" t="s">
        <v>100</v>
      </c>
      <c r="C72">
        <v>944</v>
      </c>
      <c r="D72">
        <v>2955</v>
      </c>
      <c r="E72" s="3">
        <f t="shared" si="1"/>
        <v>31.945854483925551</v>
      </c>
      <c r="F72" cm="1">
        <f t="array" ref="F72">IF(AND(E72&gt;=0,E72&lt;=10),0,IF(AND(E72&gt;10,E72&lt;=20),1, IF(AND(E72&gt;20,E72&lt;=30),2,IF(AND(E72&gt;30,E72&lt;=40),3, IF(AND(E72&gt;40,E72&lt;=50),4,”5”)))))</f>
        <v>3</v>
      </c>
    </row>
    <row r="73" spans="1:6" x14ac:dyDescent="0.3">
      <c r="A73" s="5">
        <v>79</v>
      </c>
      <c r="B73" s="2" t="s">
        <v>16</v>
      </c>
      <c r="C73">
        <v>792</v>
      </c>
      <c r="D73">
        <v>2482</v>
      </c>
      <c r="E73" s="3">
        <f t="shared" si="1"/>
        <v>31.909750201450443</v>
      </c>
      <c r="F73" cm="1">
        <f t="array" ref="F73">IF(AND(E73&gt;=0,E73&lt;=10),0,IF(AND(E73&gt;10,E73&lt;=20),1, IF(AND(E73&gt;20,E73&lt;=30),2,IF(AND(E73&gt;30,E73&lt;=40),3, IF(AND(E73&gt;40,E73&lt;=50),4,”5”)))))</f>
        <v>3</v>
      </c>
    </row>
    <row r="74" spans="1:6" x14ac:dyDescent="0.3">
      <c r="A74" s="5">
        <v>80</v>
      </c>
      <c r="B74" s="2" t="s">
        <v>58</v>
      </c>
      <c r="C74">
        <v>660</v>
      </c>
      <c r="D74">
        <v>2557</v>
      </c>
      <c r="E74" s="3">
        <f t="shared" si="1"/>
        <v>25.811497849041849</v>
      </c>
      <c r="F74" cm="1">
        <f t="array" ref="F74">IF(AND(E74&gt;=0,E74&lt;=10),0,IF(AND(E74&gt;10,E74&lt;=20),1, IF(AND(E74&gt;20,E74&lt;=30),2,IF(AND(E74&gt;30,E74&lt;=40),3, IF(AND(E74&gt;40,E74&lt;=50),4,”5”)))))</f>
        <v>2</v>
      </c>
    </row>
    <row r="75" spans="1:6" x14ac:dyDescent="0.3">
      <c r="A75" s="5">
        <v>81</v>
      </c>
      <c r="B75" s="2" t="s">
        <v>63</v>
      </c>
      <c r="C75">
        <v>928</v>
      </c>
      <c r="D75">
        <v>3851</v>
      </c>
      <c r="E75" s="3">
        <f t="shared" si="1"/>
        <v>24.097636977408467</v>
      </c>
      <c r="F75" cm="1">
        <f t="array" ref="F75">IF(AND(E75&gt;=0,E75&lt;=10),0,IF(AND(E75&gt;10,E75&lt;=20),1, IF(AND(E75&gt;20,E75&lt;=30),2,IF(AND(E75&gt;30,E75&lt;=40),3, IF(AND(E75&gt;40,E75&lt;=50),4,”5”)))))</f>
        <v>2</v>
      </c>
    </row>
    <row r="76" spans="1:6" x14ac:dyDescent="0.3">
      <c r="A76" s="5">
        <v>82</v>
      </c>
      <c r="B76" s="2" t="s">
        <v>108</v>
      </c>
      <c r="C76">
        <v>1000</v>
      </c>
      <c r="D76">
        <v>3742</v>
      </c>
      <c r="E76" s="3">
        <f t="shared" si="1"/>
        <v>26.723677177979688</v>
      </c>
      <c r="F76" cm="1">
        <f t="array" ref="F76">IF(AND(E76&gt;=0,E76&lt;=10),0,IF(AND(E76&gt;10,E76&lt;=20),1, IF(AND(E76&gt;20,E76&lt;=30),2,IF(AND(E76&gt;30,E76&lt;=40),3, IF(AND(E76&gt;40,E76&lt;=50),4,”5”)))))</f>
        <v>2</v>
      </c>
    </row>
    <row r="77" spans="1:6" x14ac:dyDescent="0.3">
      <c r="A77" s="5">
        <v>83</v>
      </c>
      <c r="B77" s="2" t="s">
        <v>67</v>
      </c>
      <c r="C77">
        <v>914</v>
      </c>
      <c r="D77">
        <v>3319</v>
      </c>
      <c r="E77" s="3">
        <f t="shared" si="1"/>
        <v>27.538415185296778</v>
      </c>
      <c r="F77" cm="1">
        <f t="array" ref="F77">IF(AND(E77&gt;=0,E77&lt;=10),0,IF(AND(E77&gt;10,E77&lt;=20),1, IF(AND(E77&gt;20,E77&lt;=30),2,IF(AND(E77&gt;30,E77&lt;=40),3, IF(AND(E77&gt;40,E77&lt;=50),4,”5”)))))</f>
        <v>2</v>
      </c>
    </row>
    <row r="78" spans="1:6" x14ac:dyDescent="0.3">
      <c r="A78" s="5">
        <v>84</v>
      </c>
      <c r="B78" s="2" t="s">
        <v>116</v>
      </c>
      <c r="C78">
        <v>1159</v>
      </c>
      <c r="D78">
        <v>4080</v>
      </c>
      <c r="E78" s="3">
        <f t="shared" si="1"/>
        <v>28.406862745098039</v>
      </c>
      <c r="F78" cm="1">
        <f t="array" ref="F78">IF(AND(E78&gt;=0,E78&lt;=10),0,IF(AND(E78&gt;10,E78&lt;=20),1, IF(AND(E78&gt;20,E78&lt;=30),2,IF(AND(E78&gt;30,E78&lt;=40),3, IF(AND(E78&gt;40,E78&lt;=50),4,”5”)))))</f>
        <v>2</v>
      </c>
    </row>
    <row r="79" spans="1:6" x14ac:dyDescent="0.3">
      <c r="A79" s="5">
        <v>85</v>
      </c>
      <c r="B79" s="2" t="s">
        <v>113</v>
      </c>
      <c r="C79">
        <v>1269</v>
      </c>
      <c r="D79">
        <v>4273</v>
      </c>
      <c r="E79" s="3">
        <f t="shared" si="1"/>
        <v>29.698104376316405</v>
      </c>
      <c r="F79" cm="1">
        <f t="array" ref="F79">IF(AND(E79&gt;=0,E79&lt;=10),0,IF(AND(E79&gt;10,E79&lt;=20),1, IF(AND(E79&gt;20,E79&lt;=30),2,IF(AND(E79&gt;30,E79&lt;=40),3, IF(AND(E79&gt;40,E79&lt;=50),4,”5”)))))</f>
        <v>2</v>
      </c>
    </row>
    <row r="80" spans="1:6" x14ac:dyDescent="0.3">
      <c r="A80" s="5">
        <v>86</v>
      </c>
      <c r="B80" s="2" t="s">
        <v>27</v>
      </c>
      <c r="C80">
        <v>1331</v>
      </c>
      <c r="D80">
        <v>3804</v>
      </c>
      <c r="E80" s="3">
        <f t="shared" si="1"/>
        <v>34.989484752891691</v>
      </c>
      <c r="F80" cm="1">
        <f t="array" ref="F80">IF(AND(E80&gt;=0,E80&lt;=10),0,IF(AND(E80&gt;10,E80&lt;=20),1, IF(AND(E80&gt;20,E80&lt;=30),2,IF(AND(E80&gt;30,E80&lt;=40),3, IF(AND(E80&gt;40,E80&lt;=50),4,”5”)))))</f>
        <v>3</v>
      </c>
    </row>
    <row r="81" spans="1:6" x14ac:dyDescent="0.3">
      <c r="A81" s="5">
        <v>87</v>
      </c>
      <c r="B81" s="2" t="s">
        <v>80</v>
      </c>
      <c r="C81">
        <v>1074</v>
      </c>
      <c r="D81">
        <v>4191</v>
      </c>
      <c r="E81" s="3">
        <f t="shared" si="1"/>
        <v>25.626342161775234</v>
      </c>
      <c r="F81" cm="1">
        <f t="array" ref="F81">IF(AND(E81&gt;=0,E81&lt;=10),0,IF(AND(E81&gt;10,E81&lt;=20),1, IF(AND(E81&gt;20,E81&lt;=30),2,IF(AND(E81&gt;30,E81&lt;=40),3, IF(AND(E81&gt;40,E81&lt;=50),4,”5”)))))</f>
        <v>2</v>
      </c>
    </row>
    <row r="82" spans="1:6" x14ac:dyDescent="0.3">
      <c r="A82" s="5">
        <v>88</v>
      </c>
      <c r="B82" s="2" t="s">
        <v>109</v>
      </c>
      <c r="C82">
        <v>1067</v>
      </c>
      <c r="D82">
        <v>3630</v>
      </c>
      <c r="E82" s="3">
        <f t="shared" si="1"/>
        <v>29.393939393939394</v>
      </c>
      <c r="F82" cm="1">
        <f t="array" ref="F82">IF(AND(E82&gt;=0,E82&lt;=10),0,IF(AND(E82&gt;10,E82&lt;=20),1, IF(AND(E82&gt;20,E82&lt;=30),2,IF(AND(E82&gt;30,E82&lt;=40),3, IF(AND(E82&gt;40,E82&lt;=50),4,”5”)))))</f>
        <v>2</v>
      </c>
    </row>
    <row r="83" spans="1:6" x14ac:dyDescent="0.3">
      <c r="A83" s="5">
        <v>89</v>
      </c>
      <c r="B83" s="2" t="s">
        <v>110</v>
      </c>
      <c r="C83">
        <v>1143</v>
      </c>
      <c r="D83">
        <v>3916</v>
      </c>
      <c r="E83" s="3">
        <f t="shared" si="1"/>
        <v>29.1879468845761</v>
      </c>
      <c r="F83" cm="1">
        <f t="array" ref="F83">IF(AND(E83&gt;=0,E83&lt;=10),0,IF(AND(E83&gt;10,E83&lt;=20),1, IF(AND(E83&gt;20,E83&lt;=30),2,IF(AND(E83&gt;30,E83&lt;=40),3, IF(AND(E83&gt;40,E83&lt;=50),4,”5”)))))</f>
        <v>2</v>
      </c>
    </row>
    <row r="84" spans="1:6" x14ac:dyDescent="0.3">
      <c r="A84" s="5">
        <v>90</v>
      </c>
      <c r="B84" s="2" t="s">
        <v>64</v>
      </c>
      <c r="C84">
        <v>976</v>
      </c>
      <c r="D84">
        <v>4056</v>
      </c>
      <c r="E84" s="3">
        <f t="shared" si="1"/>
        <v>24.063116370808679</v>
      </c>
      <c r="F84" cm="1">
        <f t="array" ref="F84">IF(AND(E84&gt;=0,E84&lt;=10),0,IF(AND(E84&gt;10,E84&lt;=20),1, IF(AND(E84&gt;20,E84&lt;=30),2,IF(AND(E84&gt;30,E84&lt;=40),3, IF(AND(E84&gt;40,E84&lt;=50),4,”5”)))))</f>
        <v>2</v>
      </c>
    </row>
    <row r="85" spans="1:6" x14ac:dyDescent="0.3">
      <c r="A85" s="5">
        <v>91</v>
      </c>
      <c r="B85" s="2" t="s">
        <v>20</v>
      </c>
      <c r="C85">
        <v>1050</v>
      </c>
      <c r="D85">
        <v>3859</v>
      </c>
      <c r="E85" s="3">
        <f t="shared" si="1"/>
        <v>27.209121534076186</v>
      </c>
      <c r="F85" cm="1">
        <f t="array" ref="F85">IF(AND(E85&gt;=0,E85&lt;=10),0,IF(AND(E85&gt;10,E85&lt;=20),1, IF(AND(E85&gt;20,E85&lt;=30),2,IF(AND(E85&gt;30,E85&lt;=40),3, IF(AND(E85&gt;40,E85&lt;=50),4,”5”)))))</f>
        <v>2</v>
      </c>
    </row>
    <row r="86" spans="1:6" x14ac:dyDescent="0.3">
      <c r="A86" s="5">
        <v>92</v>
      </c>
      <c r="B86" s="2" t="s">
        <v>102</v>
      </c>
      <c r="C86">
        <v>1099</v>
      </c>
      <c r="D86">
        <v>3668</v>
      </c>
      <c r="E86" s="3">
        <f t="shared" si="1"/>
        <v>29.961832061068705</v>
      </c>
      <c r="F86" cm="1">
        <f t="array" ref="F86">IF(AND(E86&gt;=0,E86&lt;=10),0,IF(AND(E86&gt;10,E86&lt;=20),1, IF(AND(E86&gt;20,E86&lt;=30),2,IF(AND(E86&gt;30,E86&lt;=40),3, IF(AND(E86&gt;40,E86&lt;=50),4,”5”)))))</f>
        <v>2</v>
      </c>
    </row>
    <row r="87" spans="1:6" x14ac:dyDescent="0.3">
      <c r="A87" s="5">
        <v>93</v>
      </c>
      <c r="B87" s="2" t="s">
        <v>19</v>
      </c>
      <c r="C87">
        <v>769</v>
      </c>
      <c r="D87">
        <v>3112</v>
      </c>
      <c r="E87" s="3">
        <f t="shared" si="1"/>
        <v>24.710796915167098</v>
      </c>
      <c r="F87" cm="1">
        <f t="array" ref="F87">IF(AND(E87&gt;=0,E87&lt;=10),0,IF(AND(E87&gt;10,E87&lt;=20),1, IF(AND(E87&gt;20,E87&lt;=30),2,IF(AND(E87&gt;30,E87&lt;=40),3, IF(AND(E87&gt;40,E87&lt;=50),4,”5”)))))</f>
        <v>2</v>
      </c>
    </row>
    <row r="88" spans="1:6" x14ac:dyDescent="0.3">
      <c r="A88" s="5">
        <v>94</v>
      </c>
      <c r="B88" s="2" t="s">
        <v>54</v>
      </c>
      <c r="C88">
        <v>930</v>
      </c>
      <c r="D88">
        <v>3733</v>
      </c>
      <c r="E88" s="3">
        <f t="shared" si="1"/>
        <v>24.912938655237074</v>
      </c>
      <c r="F88" cm="1">
        <f t="array" ref="F88">IF(AND(E88&gt;=0,E88&lt;=10),0,IF(AND(E88&gt;10,E88&lt;=20),1, IF(AND(E88&gt;20,E88&lt;=30),2,IF(AND(E88&gt;30,E88&lt;=40),3, IF(AND(E88&gt;40,E88&lt;=50),4,”5”)))))</f>
        <v>2</v>
      </c>
    </row>
    <row r="89" spans="1:6" x14ac:dyDescent="0.3">
      <c r="A89" s="5">
        <v>95</v>
      </c>
      <c r="B89" s="2" t="s">
        <v>78</v>
      </c>
      <c r="C89">
        <v>778</v>
      </c>
      <c r="D89">
        <v>3342</v>
      </c>
      <c r="E89" s="3">
        <f t="shared" si="1"/>
        <v>23.279473369239977</v>
      </c>
      <c r="F89" cm="1">
        <f t="array" ref="F89">IF(AND(E89&gt;=0,E89&lt;=10),0,IF(AND(E89&gt;10,E89&lt;=20),1, IF(AND(E89&gt;20,E89&lt;=30),2,IF(AND(E89&gt;30,E89&lt;=40),3, IF(AND(E89&gt;40,E89&lt;=50),4,”5”)))))</f>
        <v>2</v>
      </c>
    </row>
    <row r="90" spans="1:6" x14ac:dyDescent="0.3">
      <c r="A90" s="5">
        <v>96</v>
      </c>
      <c r="B90" s="2" t="s">
        <v>13</v>
      </c>
      <c r="C90">
        <v>813</v>
      </c>
      <c r="D90">
        <v>3572</v>
      </c>
      <c r="E90" s="3">
        <f t="shared" si="1"/>
        <v>22.760358342665175</v>
      </c>
      <c r="F90" cm="1">
        <f t="array" ref="F90">IF(AND(E90&gt;=0,E90&lt;=10),0,IF(AND(E90&gt;10,E90&lt;=20),1, IF(AND(E90&gt;20,E90&lt;=30),2,IF(AND(E90&gt;30,E90&lt;=40),3, IF(AND(E90&gt;40,E90&lt;=50),4,”5”)))))</f>
        <v>2</v>
      </c>
    </row>
    <row r="91" spans="1:6" x14ac:dyDescent="0.3">
      <c r="A91" s="5">
        <v>97</v>
      </c>
      <c r="B91" s="2" t="s">
        <v>95</v>
      </c>
      <c r="C91">
        <v>812</v>
      </c>
      <c r="D91">
        <v>3343</v>
      </c>
      <c r="E91" s="3">
        <f t="shared" si="1"/>
        <v>24.289560275201914</v>
      </c>
      <c r="F91" cm="1">
        <f t="array" ref="F91">IF(AND(E91&gt;=0,E91&lt;=10),0,IF(AND(E91&gt;10,E91&lt;=20),1, IF(AND(E91&gt;20,E91&lt;=30),2,IF(AND(E91&gt;30,E91&lt;=40),3, IF(AND(E91&gt;40,E91&lt;=50),4,”5”)))))</f>
        <v>2</v>
      </c>
    </row>
    <row r="92" spans="1:6" x14ac:dyDescent="0.3">
      <c r="A92" s="5">
        <v>98</v>
      </c>
      <c r="B92" s="2" t="s">
        <v>8</v>
      </c>
      <c r="C92">
        <v>465</v>
      </c>
      <c r="D92">
        <v>2058</v>
      </c>
      <c r="E92" s="3">
        <f t="shared" si="1"/>
        <v>22.59475218658892</v>
      </c>
      <c r="F92" cm="1">
        <f t="array" ref="F92">IF(AND(E92&gt;=0,E92&lt;=10),0,IF(AND(E92&gt;10,E92&lt;=20),1, IF(AND(E92&gt;20,E92&lt;=30),2,IF(AND(E92&gt;30,E92&lt;=40),3, IF(AND(E92&gt;40,E92&lt;=50),4,”5”)))))</f>
        <v>2</v>
      </c>
    </row>
    <row r="93" spans="1:6" x14ac:dyDescent="0.3">
      <c r="A93" s="5">
        <v>99</v>
      </c>
      <c r="B93" s="2" t="s">
        <v>9</v>
      </c>
      <c r="C93">
        <v>744</v>
      </c>
      <c r="D93">
        <v>2582</v>
      </c>
      <c r="E93" s="3">
        <f t="shared" si="1"/>
        <v>28.814872192099152</v>
      </c>
      <c r="F93" cm="1">
        <f t="array" ref="F93">IF(AND(E93&gt;=0,E93&lt;=10),0,IF(AND(E93&gt;10,E93&lt;=20),1, IF(AND(E93&gt;20,E93&lt;=30),2,IF(AND(E93&gt;30,E93&lt;=40),3, IF(AND(E93&gt;40,E93&lt;=50),4,”5”)))))</f>
        <v>2</v>
      </c>
    </row>
    <row r="94" spans="1:6" x14ac:dyDescent="0.3">
      <c r="A94" s="5">
        <v>100</v>
      </c>
      <c r="B94" s="2" t="s">
        <v>39</v>
      </c>
      <c r="C94">
        <v>969</v>
      </c>
      <c r="D94">
        <v>4063</v>
      </c>
      <c r="E94" s="3">
        <f t="shared" si="1"/>
        <v>23.84937238493724</v>
      </c>
      <c r="F94" cm="1">
        <f t="array" ref="F94">IF(AND(E94&gt;=0,E94&lt;=10),0,IF(AND(E94&gt;10,E94&lt;=20),1, IF(AND(E94&gt;20,E94&lt;=30),2,IF(AND(E94&gt;30,E94&lt;=40),3, IF(AND(E94&gt;40,E94&lt;=50),4,”5”)))))</f>
        <v>2</v>
      </c>
    </row>
    <row r="95" spans="1:6" x14ac:dyDescent="0.3">
      <c r="A95" s="5">
        <v>101</v>
      </c>
      <c r="B95" s="2" t="s">
        <v>41</v>
      </c>
      <c r="C95">
        <v>736</v>
      </c>
      <c r="D95">
        <v>2396</v>
      </c>
      <c r="E95" s="3">
        <f t="shared" si="1"/>
        <v>30.71786310517529</v>
      </c>
      <c r="F95" cm="1">
        <f t="array" ref="F95">IF(AND(E95&gt;=0,E95&lt;=10),0,IF(AND(E95&gt;10,E95&lt;=20),1, IF(AND(E95&gt;20,E95&lt;=30),2,IF(AND(E95&gt;30,E95&lt;=40),3, IF(AND(E95&gt;40,E95&lt;=50),4,”5”)))))</f>
        <v>3</v>
      </c>
    </row>
    <row r="96" spans="1:6" x14ac:dyDescent="0.3">
      <c r="A96" s="5">
        <v>102</v>
      </c>
      <c r="B96" s="2" t="s">
        <v>42</v>
      </c>
      <c r="C96">
        <v>718</v>
      </c>
      <c r="D96">
        <v>2001</v>
      </c>
      <c r="E96" s="3">
        <f t="shared" si="1"/>
        <v>35.882058970514741</v>
      </c>
      <c r="F96" cm="1">
        <f t="array" ref="F96">IF(AND(E96&gt;=0,E96&lt;=10),0,IF(AND(E96&gt;10,E96&lt;=20),1, IF(AND(E96&gt;20,E96&lt;=30),2,IF(AND(E96&gt;30,E96&lt;=40),3, IF(AND(E96&gt;40,E96&lt;=50),4,”5”)))))</f>
        <v>3</v>
      </c>
    </row>
    <row r="97" spans="1:6" x14ac:dyDescent="0.3">
      <c r="A97" s="5">
        <v>103</v>
      </c>
      <c r="B97" s="2" t="s">
        <v>87</v>
      </c>
      <c r="C97">
        <v>804</v>
      </c>
      <c r="D97">
        <v>2167</v>
      </c>
      <c r="E97" s="3">
        <f t="shared" si="1"/>
        <v>37.10198431010614</v>
      </c>
      <c r="F97" cm="1">
        <f t="array" ref="F97">IF(AND(E97&gt;=0,E97&lt;=10),0,IF(AND(E97&gt;10,E97&lt;=20),1, IF(AND(E97&gt;20,E97&lt;=30),2,IF(AND(E97&gt;30,E97&lt;=40),3, IF(AND(E97&gt;40,E97&lt;=50),4,”5”)))))</f>
        <v>3</v>
      </c>
    </row>
    <row r="98" spans="1:6" x14ac:dyDescent="0.3">
      <c r="A98" s="5">
        <v>104</v>
      </c>
      <c r="B98" s="2" t="s">
        <v>85</v>
      </c>
      <c r="C98">
        <v>1324</v>
      </c>
      <c r="D98">
        <v>3822</v>
      </c>
      <c r="E98" s="3">
        <f t="shared" si="1"/>
        <v>34.641548927263209</v>
      </c>
      <c r="F98" cm="1">
        <f t="array" ref="F98">IF(AND(E98&gt;=0,E98&lt;=10),0,IF(AND(E98&gt;10,E98&lt;=20),1, IF(AND(E98&gt;20,E98&lt;=30),2,IF(AND(E98&gt;30,E98&lt;=40),3, IF(AND(E98&gt;40,E98&lt;=50),4,”5”)))))</f>
        <v>3</v>
      </c>
    </row>
    <row r="99" spans="1:6" x14ac:dyDescent="0.3">
      <c r="A99" s="5">
        <v>105</v>
      </c>
      <c r="B99" s="2" t="s">
        <v>91</v>
      </c>
      <c r="C99">
        <v>953</v>
      </c>
      <c r="D99">
        <v>2696</v>
      </c>
      <c r="E99" s="3">
        <f t="shared" si="1"/>
        <v>35.348664688427299</v>
      </c>
      <c r="F99" cm="1">
        <f t="array" ref="F99">IF(AND(E99&gt;=0,E99&lt;=10),0,IF(AND(E99&gt;10,E99&lt;=20),1, IF(AND(E99&gt;20,E99&lt;=30),2,IF(AND(E99&gt;30,E99&lt;=40),3, IF(AND(E99&gt;40,E99&lt;=50),4,”5”)))))</f>
        <v>3</v>
      </c>
    </row>
    <row r="100" spans="1:6" x14ac:dyDescent="0.3">
      <c r="A100" s="5">
        <v>106</v>
      </c>
      <c r="B100" s="2" t="s">
        <v>40</v>
      </c>
      <c r="C100">
        <v>940</v>
      </c>
      <c r="D100">
        <v>2996</v>
      </c>
      <c r="E100" s="3">
        <f t="shared" si="1"/>
        <v>31.375166889185579</v>
      </c>
      <c r="F100" cm="1">
        <f t="array" ref="F100">IF(AND(E100&gt;=0,E100&lt;=10),0,IF(AND(E100&gt;10,E100&lt;=20),1, IF(AND(E100&gt;20,E100&lt;=30),2,IF(AND(E100&gt;30,E100&lt;=40),3, IF(AND(E100&gt;40,E100&lt;=50),4,”5”)))))</f>
        <v>3</v>
      </c>
    </row>
    <row r="101" spans="1:6" x14ac:dyDescent="0.3">
      <c r="A101" s="5">
        <v>107</v>
      </c>
      <c r="B101" s="2" t="s">
        <v>99</v>
      </c>
      <c r="C101">
        <v>969</v>
      </c>
      <c r="D101">
        <v>3560</v>
      </c>
      <c r="E101" s="3">
        <f t="shared" si="1"/>
        <v>27.219101123595507</v>
      </c>
      <c r="F101" cm="1">
        <f t="array" ref="F101">IF(AND(E101&gt;=0,E101&lt;=10),0,IF(AND(E101&gt;10,E101&lt;=20),1, IF(AND(E101&gt;20,E101&lt;=30),2,IF(AND(E101&gt;30,E101&lt;=40),3, IF(AND(E101&gt;40,E101&lt;=50),4,”5”)))))</f>
        <v>2</v>
      </c>
    </row>
    <row r="102" spans="1:6" x14ac:dyDescent="0.3">
      <c r="A102" s="5">
        <v>108</v>
      </c>
      <c r="B102" s="2" t="s">
        <v>31</v>
      </c>
      <c r="C102">
        <v>820</v>
      </c>
      <c r="D102">
        <v>2744</v>
      </c>
      <c r="E102" s="3">
        <f t="shared" si="1"/>
        <v>29.88338192419825</v>
      </c>
      <c r="F102" cm="1">
        <f t="array" ref="F102">IF(AND(E102&gt;=0,E102&lt;=10),0,IF(AND(E102&gt;10,E102&lt;=20),1, IF(AND(E102&gt;20,E102&lt;=30),2,IF(AND(E102&gt;30,E102&lt;=40),3, IF(AND(E102&gt;40,E102&lt;=50),4,”5”)))))</f>
        <v>2</v>
      </c>
    </row>
    <row r="103" spans="1:6" x14ac:dyDescent="0.3">
      <c r="A103" s="5">
        <v>109</v>
      </c>
      <c r="B103" s="2" t="s">
        <v>92</v>
      </c>
      <c r="C103">
        <v>809</v>
      </c>
      <c r="D103">
        <v>2470</v>
      </c>
      <c r="E103" s="3">
        <f t="shared" si="1"/>
        <v>32.753036437246962</v>
      </c>
      <c r="F103" cm="1">
        <f t="array" ref="F103">IF(AND(E103&gt;=0,E103&lt;=10),0,IF(AND(E103&gt;10,E103&lt;=20),1, IF(AND(E103&gt;20,E103&lt;=30),2,IF(AND(E103&gt;30,E103&lt;=40),3, IF(AND(E103&gt;40,E103&lt;=50),4,”5”)))))</f>
        <v>3</v>
      </c>
    </row>
    <row r="104" spans="1:6" x14ac:dyDescent="0.3">
      <c r="A104" s="5">
        <v>110</v>
      </c>
      <c r="B104" s="2" t="s">
        <v>90</v>
      </c>
      <c r="C104">
        <v>925</v>
      </c>
      <c r="D104">
        <v>2714</v>
      </c>
      <c r="E104" s="3">
        <f t="shared" si="1"/>
        <v>34.082535003684598</v>
      </c>
      <c r="F104" cm="1">
        <f t="array" ref="F104">IF(AND(E104&gt;=0,E104&lt;=10),0,IF(AND(E104&gt;10,E104&lt;=20),1, IF(AND(E104&gt;20,E104&lt;=30),2,IF(AND(E104&gt;30,E104&lt;=40),3, IF(AND(E104&gt;40,E104&lt;=50),4,”5”)))))</f>
        <v>3</v>
      </c>
    </row>
    <row r="105" spans="1:6" x14ac:dyDescent="0.3">
      <c r="A105" s="5">
        <v>111</v>
      </c>
      <c r="B105" s="2" t="s">
        <v>37</v>
      </c>
      <c r="C105">
        <v>836</v>
      </c>
      <c r="D105">
        <v>2594</v>
      </c>
      <c r="E105" s="3">
        <f t="shared" si="1"/>
        <v>32.228218966846569</v>
      </c>
      <c r="F105" cm="1">
        <f t="array" ref="F105">IF(AND(E105&gt;=0,E105&lt;=10),0,IF(AND(E105&gt;10,E105&lt;=20),1, IF(AND(E105&gt;20,E105&lt;=30),2,IF(AND(E105&gt;30,E105&lt;=40),3, IF(AND(E105&gt;40,E105&lt;=50),4,”5”)))))</f>
        <v>3</v>
      </c>
    </row>
    <row r="106" spans="1:6" x14ac:dyDescent="0.3">
      <c r="A106" s="5">
        <v>112</v>
      </c>
      <c r="B106" s="2" t="s">
        <v>0</v>
      </c>
      <c r="C106">
        <v>998</v>
      </c>
      <c r="D106">
        <v>2657</v>
      </c>
      <c r="E106" s="3">
        <f t="shared" si="1"/>
        <v>37.561159202107639</v>
      </c>
      <c r="F106" cm="1">
        <f t="array" ref="F106">IF(AND(E106&gt;=0,E106&lt;=10),0,IF(AND(E106&gt;10,E106&lt;=20),1, IF(AND(E106&gt;20,E106&lt;=30),2,IF(AND(E106&gt;30,E106&lt;=40),3, IF(AND(E106&gt;40,E106&lt;=50),4,”5”)))))</f>
        <v>3</v>
      </c>
    </row>
    <row r="107" spans="1:6" x14ac:dyDescent="0.3">
      <c r="A107" s="5">
        <v>113</v>
      </c>
      <c r="B107" s="2" t="s">
        <v>120</v>
      </c>
      <c r="C107">
        <v>1096</v>
      </c>
      <c r="D107">
        <v>2918</v>
      </c>
      <c r="E107" s="3">
        <f t="shared" si="1"/>
        <v>37.559972583961617</v>
      </c>
      <c r="F107" cm="1">
        <f t="array" ref="F107">IF(AND(E107&gt;=0,E107&lt;=10),0,IF(AND(E107&gt;10,E107&lt;=20),1, IF(AND(E107&gt;20,E107&lt;=30),2,IF(AND(E107&gt;30,E107&lt;=40),3, IF(AND(E107&gt;40,E107&lt;=50),4,”5”)))))</f>
        <v>3</v>
      </c>
    </row>
    <row r="108" spans="1:6" x14ac:dyDescent="0.3">
      <c r="A108" s="5">
        <v>114</v>
      </c>
      <c r="B108" s="2" t="s">
        <v>1</v>
      </c>
      <c r="C108">
        <v>936</v>
      </c>
      <c r="D108">
        <v>2362</v>
      </c>
      <c r="E108" s="3">
        <f t="shared" si="1"/>
        <v>39.627434377646068</v>
      </c>
      <c r="F108" cm="1">
        <f t="array" ref="F108">IF(AND(E108&gt;=0,E108&lt;=10),0,IF(AND(E108&gt;10,E108&lt;=20),1, IF(AND(E108&gt;20,E108&lt;=30),2,IF(AND(E108&gt;30,E108&lt;=40),3, IF(AND(E108&gt;40,E108&lt;=50),4,”5”)))))</f>
        <v>3</v>
      </c>
    </row>
    <row r="109" spans="1:6" x14ac:dyDescent="0.3">
      <c r="A109" s="5">
        <v>115</v>
      </c>
      <c r="B109" s="2" t="s">
        <v>79</v>
      </c>
      <c r="C109">
        <v>748</v>
      </c>
      <c r="D109">
        <v>2494</v>
      </c>
      <c r="E109" s="3">
        <f t="shared" si="1"/>
        <v>29.991980753809145</v>
      </c>
      <c r="F109" cm="1">
        <f t="array" ref="F109">IF(AND(E109&gt;=0,E109&lt;=10),0,IF(AND(E109&gt;10,E109&lt;=20),1, IF(AND(E109&gt;20,E109&lt;=30),2,IF(AND(E109&gt;30,E109&lt;=40),3, IF(AND(E109&gt;40,E109&lt;=50),4,”5”)))))</f>
        <v>2</v>
      </c>
    </row>
    <row r="110" spans="1:6" x14ac:dyDescent="0.3">
      <c r="A110" s="5">
        <v>116</v>
      </c>
      <c r="B110" s="2" t="s">
        <v>4</v>
      </c>
      <c r="C110">
        <v>1052</v>
      </c>
      <c r="D110">
        <v>3053</v>
      </c>
      <c r="E110" s="3">
        <f t="shared" si="1"/>
        <v>34.457910252210937</v>
      </c>
      <c r="F110" cm="1">
        <f t="array" ref="F110">IF(AND(E110&gt;=0,E110&lt;=10),0,IF(AND(E110&gt;10,E110&lt;=20),1, IF(AND(E110&gt;20,E110&lt;=30),2,IF(AND(E110&gt;30,E110&lt;=40),3, IF(AND(E110&gt;40,E110&lt;=50),4,”5”)))))</f>
        <v>3</v>
      </c>
    </row>
    <row r="111" spans="1:6" x14ac:dyDescent="0.3">
      <c r="A111" s="5">
        <v>117</v>
      </c>
      <c r="B111" s="2" t="s">
        <v>93</v>
      </c>
      <c r="C111">
        <v>755</v>
      </c>
      <c r="D111">
        <v>2531</v>
      </c>
      <c r="E111" s="3">
        <f t="shared" si="1"/>
        <v>29.830106677202689</v>
      </c>
      <c r="F111" cm="1">
        <f t="array" ref="F111">IF(AND(E111&gt;=0,E111&lt;=10),0,IF(AND(E111&gt;10,E111&lt;=20),1, IF(AND(E111&gt;20,E111&lt;=30),2,IF(AND(E111&gt;30,E111&lt;=40),3, IF(AND(E111&gt;40,E111&lt;=50),4,”5”)))))</f>
        <v>2</v>
      </c>
    </row>
    <row r="112" spans="1:6" x14ac:dyDescent="0.3">
      <c r="A112" s="5">
        <v>118</v>
      </c>
      <c r="B112" s="2" t="s">
        <v>7</v>
      </c>
      <c r="C112">
        <v>651</v>
      </c>
      <c r="D112">
        <v>2298</v>
      </c>
      <c r="E112" s="3">
        <f t="shared" si="1"/>
        <v>28.3289817232376</v>
      </c>
      <c r="F112" cm="1">
        <f t="array" ref="F112">IF(AND(E112&gt;=0,E112&lt;=10),0,IF(AND(E112&gt;10,E112&lt;=20),1, IF(AND(E112&gt;20,E112&lt;=30),2,IF(AND(E112&gt;30,E112&lt;=40),3, IF(AND(E112&gt;40,E112&lt;=50),4,”5”)))))</f>
        <v>2</v>
      </c>
    </row>
    <row r="113" spans="1:6" x14ac:dyDescent="0.3">
      <c r="A113" s="5">
        <v>119</v>
      </c>
      <c r="B113" s="2" t="s">
        <v>98</v>
      </c>
      <c r="C113">
        <v>1008</v>
      </c>
      <c r="D113">
        <v>2794</v>
      </c>
      <c r="E113" s="3">
        <f t="shared" si="1"/>
        <v>36.077308518253396</v>
      </c>
      <c r="F113" cm="1">
        <f t="array" ref="F113">IF(AND(E113&gt;=0,E113&lt;=10),0,IF(AND(E113&gt;10,E113&lt;=20),1, IF(AND(E113&gt;20,E113&lt;=30),2,IF(AND(E113&gt;30,E113&lt;=40),3, IF(AND(E113&gt;40,E113&lt;=50),4,”5”)))))</f>
        <v>3</v>
      </c>
    </row>
    <row r="114" spans="1:6" x14ac:dyDescent="0.3">
      <c r="A114" s="5">
        <v>120</v>
      </c>
      <c r="B114" s="2" t="s">
        <v>73</v>
      </c>
      <c r="C114">
        <v>1117</v>
      </c>
      <c r="D114">
        <v>3548</v>
      </c>
      <c r="E114" s="3">
        <f t="shared" si="1"/>
        <v>31.482525366403607</v>
      </c>
      <c r="F114" cm="1">
        <f t="array" ref="F114">IF(AND(E114&gt;=0,E114&lt;=10),0,IF(AND(E114&gt;10,E114&lt;=20),1, IF(AND(E114&gt;20,E114&lt;=30),2,IF(AND(E114&gt;30,E114&lt;=40),3, IF(AND(E114&gt;40,E114&lt;=50),4,”5”)))))</f>
        <v>3</v>
      </c>
    </row>
    <row r="115" spans="1:6" x14ac:dyDescent="0.3">
      <c r="A115" s="5">
        <v>121</v>
      </c>
      <c r="B115" s="2" t="s">
        <v>83</v>
      </c>
      <c r="C115">
        <v>830</v>
      </c>
      <c r="D115">
        <v>2824</v>
      </c>
      <c r="E115" s="3">
        <f t="shared" si="1"/>
        <v>29.390934844192635</v>
      </c>
      <c r="F115" cm="1">
        <f t="array" ref="F115">IF(AND(E115&gt;=0,E115&lt;=10),0,IF(AND(E115&gt;10,E115&lt;=20),1, IF(AND(E115&gt;20,E115&lt;=30),2,IF(AND(E115&gt;30,E115&lt;=40),3, IF(AND(E115&gt;40,E115&lt;=50),4,”5”)))))</f>
        <v>2</v>
      </c>
    </row>
    <row r="116" spans="1:6" x14ac:dyDescent="0.3">
      <c r="A116" s="5">
        <v>122</v>
      </c>
      <c r="B116" s="2" t="s">
        <v>83</v>
      </c>
      <c r="C116">
        <v>783</v>
      </c>
      <c r="D116">
        <v>2851</v>
      </c>
      <c r="E116" s="3">
        <f t="shared" si="1"/>
        <v>27.464047702560507</v>
      </c>
      <c r="F116" cm="1">
        <f t="array" ref="F116">IF(AND(E116&gt;=0,E116&lt;=10),0,IF(AND(E116&gt;10,E116&lt;=20),1, IF(AND(E116&gt;20,E116&lt;=30),2,IF(AND(E116&gt;30,E116&lt;=40),3, IF(AND(E116&gt;40,E116&lt;=50),4,”5”)))))</f>
        <v>2</v>
      </c>
    </row>
    <row r="117" spans="1:6" x14ac:dyDescent="0.3">
      <c r="A117" s="5">
        <v>123</v>
      </c>
      <c r="B117" s="2" t="s">
        <v>43</v>
      </c>
      <c r="C117">
        <v>730</v>
      </c>
      <c r="D117">
        <v>2253</v>
      </c>
      <c r="E117" s="3">
        <f t="shared" si="1"/>
        <v>32.401242787394587</v>
      </c>
      <c r="F117" cm="1">
        <f t="array" ref="F117">IF(AND(E117&gt;=0,E117&lt;=10),0,IF(AND(E117&gt;10,E117&lt;=20),1, IF(AND(E117&gt;20,E117&lt;=30),2,IF(AND(E117&gt;30,E117&lt;=40),3, IF(AND(E117&gt;40,E117&lt;=50),4,”5”)))))</f>
        <v>3</v>
      </c>
    </row>
    <row r="118" spans="1:6" x14ac:dyDescent="0.3">
      <c r="A118" s="5">
        <v>124</v>
      </c>
      <c r="B118" s="2" t="s">
        <v>5</v>
      </c>
      <c r="C118">
        <v>1006</v>
      </c>
      <c r="D118">
        <v>3093</v>
      </c>
      <c r="E118" s="3">
        <f t="shared" si="1"/>
        <v>32.52505657937278</v>
      </c>
      <c r="F118" cm="1">
        <f t="array" ref="F118">IF(AND(E118&gt;=0,E118&lt;=10),0,IF(AND(E118&gt;10,E118&lt;=20),1, IF(AND(E118&gt;20,E118&lt;=30),2,IF(AND(E118&gt;30,E118&lt;=40),3, IF(AND(E118&gt;40,E118&lt;=50),4,”5”)))))</f>
        <v>3</v>
      </c>
    </row>
    <row r="119" spans="1:6" x14ac:dyDescent="0.3">
      <c r="A119" s="5">
        <v>125</v>
      </c>
      <c r="B119" s="2" t="s">
        <v>3</v>
      </c>
      <c r="C119">
        <v>1215</v>
      </c>
      <c r="D119">
        <v>3508</v>
      </c>
      <c r="E119" s="3">
        <f t="shared" si="1"/>
        <v>34.635119726339795</v>
      </c>
      <c r="F119" cm="1">
        <f t="array" ref="F119">IF(AND(E119&gt;=0,E119&lt;=10),0,IF(AND(E119&gt;10,E119&lt;=20),1, IF(AND(E119&gt;20,E119&lt;=30),2,IF(AND(E119&gt;30,E119&lt;=40),3, IF(AND(E119&gt;40,E119&lt;=50),4,”5”)))))</f>
        <v>3</v>
      </c>
    </row>
    <row r="120" spans="1:6" x14ac:dyDescent="0.3">
      <c r="A120" s="5">
        <v>126</v>
      </c>
      <c r="B120" s="2" t="s">
        <v>2</v>
      </c>
      <c r="C120">
        <v>1239</v>
      </c>
      <c r="D120">
        <v>3257</v>
      </c>
      <c r="E120" s="3">
        <f t="shared" si="1"/>
        <v>38.04114215535769</v>
      </c>
      <c r="F120" cm="1">
        <f t="array" ref="F120">IF(AND(E120&gt;=0,E120&lt;=10),0,IF(AND(E120&gt;10,E120&lt;=20),1, IF(AND(E120&gt;20,E120&lt;=30),2,IF(AND(E120&gt;30,E120&lt;=40),3, IF(AND(E120&gt;40,E120&lt;=50),4,”5”)))))</f>
        <v>3</v>
      </c>
    </row>
    <row r="121" spans="1:6" x14ac:dyDescent="0.3">
      <c r="A121" s="5">
        <v>127</v>
      </c>
      <c r="B121" s="2" t="s">
        <v>86</v>
      </c>
      <c r="C121">
        <v>1255</v>
      </c>
      <c r="D121">
        <v>3379</v>
      </c>
      <c r="E121" s="3">
        <f t="shared" si="1"/>
        <v>37.141166025451319</v>
      </c>
      <c r="F121" cm="1">
        <f t="array" ref="F121">IF(AND(E121&gt;=0,E121&lt;=10),0,IF(AND(E121&gt;10,E121&lt;=20),1, IF(AND(E121&gt;20,E121&lt;=30),2,IF(AND(E121&gt;30,E121&lt;=40),3, IF(AND(E121&gt;40,E121&lt;=50),4,”5”)))))</f>
        <v>3</v>
      </c>
    </row>
    <row r="122" spans="1:6" x14ac:dyDescent="0.3">
      <c r="A122" s="5">
        <v>128</v>
      </c>
      <c r="B122" s="2" t="s">
        <v>29</v>
      </c>
      <c r="C122">
        <v>790</v>
      </c>
      <c r="D122">
        <v>2006</v>
      </c>
      <c r="E122" s="3">
        <f t="shared" si="1"/>
        <v>39.381854436689927</v>
      </c>
      <c r="F122" cm="1">
        <f t="array" ref="F122">IF(AND(E122&gt;=0,E122&lt;=10),0,IF(AND(E122&gt;10,E122&lt;=20),1, IF(AND(E122&gt;20,E122&lt;=30),2,IF(AND(E122&gt;30,E122&lt;=40),3, IF(AND(E122&gt;40,E122&lt;=50),4,”5”)))))</f>
        <v>3</v>
      </c>
    </row>
    <row r="123" spans="1:6" x14ac:dyDescent="0.3">
      <c r="A123" s="5">
        <v>129</v>
      </c>
      <c r="B123" s="2" t="s">
        <v>28</v>
      </c>
      <c r="C123">
        <v>1033</v>
      </c>
      <c r="D123">
        <v>2767</v>
      </c>
      <c r="E123" s="3">
        <f t="shared" si="1"/>
        <v>37.33285146367907</v>
      </c>
      <c r="F123" cm="1">
        <f t="array" ref="F123">IF(AND(E123&gt;=0,E123&lt;=10),0,IF(AND(E123&gt;10,E123&lt;=20),1, IF(AND(E123&gt;20,E123&lt;=30),2,IF(AND(E123&gt;30,E123&lt;=40),3, IF(AND(E123&gt;40,E123&lt;=50),4,”5”)))))</f>
        <v>3</v>
      </c>
    </row>
    <row r="124" spans="1:6" x14ac:dyDescent="0.3">
      <c r="A124" s="5">
        <v>130</v>
      </c>
      <c r="B124" s="2" t="s">
        <v>74</v>
      </c>
      <c r="C124">
        <v>829</v>
      </c>
      <c r="D124">
        <v>2224</v>
      </c>
      <c r="E124" s="3">
        <f t="shared" si="1"/>
        <v>37.275179856115109</v>
      </c>
      <c r="F124" cm="1">
        <f t="array" ref="F124">IF(AND(E124&gt;=0,E124&lt;=10),0,IF(AND(E124&gt;10,E124&lt;=20),1, IF(AND(E124&gt;20,E124&lt;=30),2,IF(AND(E124&gt;30,E124&lt;=40),3, IF(AND(E124&gt;40,E124&lt;=50),4,”5”)))))</f>
        <v>3</v>
      </c>
    </row>
    <row r="125" spans="1:6" x14ac:dyDescent="0.3">
      <c r="A125" s="5">
        <v>131</v>
      </c>
      <c r="B125" s="2" t="s">
        <v>35</v>
      </c>
      <c r="C125">
        <v>974</v>
      </c>
      <c r="D125">
        <v>2822</v>
      </c>
      <c r="E125" s="3">
        <f t="shared" si="1"/>
        <v>34.514528703047489</v>
      </c>
      <c r="F125" cm="1">
        <f t="array" ref="F125">IF(AND(E125&gt;=0,E125&lt;=10),0,IF(AND(E125&gt;10,E125&lt;=20),1, IF(AND(E125&gt;20,E125&lt;=30),2,IF(AND(E125&gt;30,E125&lt;=40),3, IF(AND(E125&gt;40,E125&lt;=50),4,”5”)))))</f>
        <v>3</v>
      </c>
    </row>
    <row r="126" spans="1:6" x14ac:dyDescent="0.3">
      <c r="A126" s="5">
        <v>132</v>
      </c>
      <c r="B126" s="2" t="s">
        <v>36</v>
      </c>
      <c r="C126">
        <v>1215</v>
      </c>
      <c r="D126">
        <v>3555</v>
      </c>
      <c r="E126" s="3">
        <f t="shared" si="1"/>
        <v>34.177215189873415</v>
      </c>
      <c r="F126" cm="1">
        <f t="array" ref="F126">IF(AND(E126&gt;=0,E126&lt;=10),0,IF(AND(E126&gt;10,E126&lt;=20),1, IF(AND(E126&gt;20,E126&lt;=30),2,IF(AND(E126&gt;30,E126&lt;=40),3, IF(AND(E126&gt;40,E126&lt;=50),4,”5”)))))</f>
        <v>3</v>
      </c>
    </row>
    <row r="127" spans="1:6" x14ac:dyDescent="0.3">
      <c r="A127" s="5">
        <v>133</v>
      </c>
      <c r="B127" s="2" t="s">
        <v>89</v>
      </c>
      <c r="C127">
        <v>1066</v>
      </c>
      <c r="D127">
        <v>3060</v>
      </c>
      <c r="E127" s="3">
        <f t="shared" si="1"/>
        <v>34.83660130718954</v>
      </c>
      <c r="F127" cm="1">
        <f t="array" ref="F127">IF(AND(E127&gt;=0,E127&lt;=10),0,IF(AND(E127&gt;10,E127&lt;=20),1, IF(AND(E127&gt;20,E127&lt;=30),2,IF(AND(E127&gt;30,E127&lt;=40),3, IF(AND(E127&gt;40,E127&lt;=50),4,”5”)))))</f>
        <v>3</v>
      </c>
    </row>
    <row r="128" spans="1:6" x14ac:dyDescent="0.3">
      <c r="A128" s="5">
        <v>134</v>
      </c>
      <c r="B128" s="2" t="s">
        <v>128</v>
      </c>
      <c r="C128">
        <v>1042</v>
      </c>
      <c r="D128">
        <v>3406</v>
      </c>
      <c r="E128" s="3">
        <f t="shared" si="1"/>
        <v>30.593071051086319</v>
      </c>
      <c r="F128" cm="1">
        <f t="array" ref="F128">IF(AND(E128&gt;=0,E128&lt;=10),0,IF(AND(E128&gt;10,E128&lt;=20),1, IF(AND(E128&gt;20,E128&lt;=30),2,IF(AND(E128&gt;30,E128&lt;=40),3, IF(AND(E128&gt;40,E128&lt;=50),4,”5”)))))</f>
        <v>3</v>
      </c>
    </row>
    <row r="129" spans="1:6" x14ac:dyDescent="0.3">
      <c r="A129" s="5">
        <v>135</v>
      </c>
      <c r="B129" s="2" t="s">
        <v>38</v>
      </c>
      <c r="C129">
        <v>1016</v>
      </c>
      <c r="D129">
        <v>3051</v>
      </c>
      <c r="E129" s="3">
        <f t="shared" si="1"/>
        <v>33.300557194362504</v>
      </c>
      <c r="F129" cm="1">
        <f t="array" ref="F129">IF(AND(E129&gt;=0,E129&lt;=10),0,IF(AND(E129&gt;10,E129&lt;=20),1, IF(AND(E129&gt;20,E129&lt;=30),2,IF(AND(E129&gt;30,E129&lt;=40),3, IF(AND(E129&gt;40,E129&lt;=50),4,”5”)))))</f>
        <v>3</v>
      </c>
    </row>
    <row r="130" spans="1:6" x14ac:dyDescent="0.3">
      <c r="A130" s="5">
        <v>136</v>
      </c>
      <c r="B130" s="2" t="s">
        <v>88</v>
      </c>
      <c r="C130">
        <v>589</v>
      </c>
      <c r="D130">
        <v>2265</v>
      </c>
      <c r="E130" s="3">
        <f t="shared" si="1"/>
        <v>26.00441501103753</v>
      </c>
      <c r="F130" cm="1">
        <f t="array" ref="F130">IF(AND(E130&gt;=0,E130&lt;=10),0,IF(AND(E130&gt;10,E130&lt;=20),1, IF(AND(E130&gt;20,E130&lt;=30),2,IF(AND(E130&gt;30,E130&lt;=40),3, IF(AND(E130&gt;40,E130&lt;=50),4,”5”)))))</f>
        <v>2</v>
      </c>
    </row>
    <row r="131" spans="1:6" x14ac:dyDescent="0.3">
      <c r="A131" s="5">
        <v>137</v>
      </c>
      <c r="B131" s="2" t="s">
        <v>81</v>
      </c>
      <c r="C131">
        <v>816</v>
      </c>
      <c r="D131">
        <v>2568</v>
      </c>
      <c r="E131" s="3">
        <f t="shared" ref="E131:E136" si="2">(C131/D131)*100</f>
        <v>31.775700934579437</v>
      </c>
      <c r="F131" cm="1">
        <f t="array" ref="F131">IF(AND(E131&gt;=0,E131&lt;=10),0,IF(AND(E131&gt;10,E131&lt;=20),1, IF(AND(E131&gt;20,E131&lt;=30),2,IF(AND(E131&gt;30,E131&lt;=40),3, IF(AND(E131&gt;40,E131&lt;=50),4,”5”)))))</f>
        <v>3</v>
      </c>
    </row>
    <row r="132" spans="1:6" x14ac:dyDescent="0.3">
      <c r="A132" s="5">
        <v>138</v>
      </c>
      <c r="B132" s="2" t="s">
        <v>126</v>
      </c>
      <c r="C132">
        <v>951</v>
      </c>
      <c r="D132">
        <v>2615</v>
      </c>
      <c r="E132" s="3">
        <f t="shared" si="2"/>
        <v>36.367112810707461</v>
      </c>
      <c r="F132" cm="1">
        <f t="array" ref="F132">IF(AND(E132&gt;=0,E132&lt;=10),0,IF(AND(E132&gt;10,E132&lt;=20),1, IF(AND(E132&gt;20,E132&lt;=30),2,IF(AND(E132&gt;30,E132&lt;=40),3, IF(AND(E132&gt;40,E132&lt;=50),4,”5”)))))</f>
        <v>3</v>
      </c>
    </row>
    <row r="133" spans="1:6" x14ac:dyDescent="0.3">
      <c r="A133" s="5">
        <v>139</v>
      </c>
      <c r="B133" s="2" t="s">
        <v>39</v>
      </c>
      <c r="C133">
        <v>989</v>
      </c>
      <c r="D133">
        <v>3252</v>
      </c>
      <c r="E133" s="3">
        <f t="shared" si="2"/>
        <v>30.412054120541203</v>
      </c>
      <c r="F133" cm="1">
        <f t="array" ref="F133">IF(AND(E133&gt;=0,E133&lt;=10),0,IF(AND(E133&gt;10,E133&lt;=20),1, IF(AND(E133&gt;20,E133&lt;=30),2,IF(AND(E133&gt;30,E133&lt;=40),3, IF(AND(E133&gt;40,E133&lt;=50),4,”5”)))))</f>
        <v>3</v>
      </c>
    </row>
    <row r="134" spans="1:6" x14ac:dyDescent="0.3">
      <c r="A134" s="5">
        <v>140</v>
      </c>
      <c r="B134" s="2" t="s">
        <v>6</v>
      </c>
      <c r="C134">
        <v>949</v>
      </c>
      <c r="D134">
        <v>3087</v>
      </c>
      <c r="E134" s="3">
        <f t="shared" si="2"/>
        <v>30.741820537738906</v>
      </c>
      <c r="F134" cm="1">
        <f t="array" ref="F134">IF(AND(E134&gt;=0,E134&lt;=10),0,IF(AND(E134&gt;10,E134&lt;=20),1, IF(AND(E134&gt;20,E134&lt;=30),2,IF(AND(E134&gt;30,E134&lt;=40),3, IF(AND(E134&gt;40,E134&lt;=50),4,”5”)))))</f>
        <v>3</v>
      </c>
    </row>
    <row r="135" spans="1:6" x14ac:dyDescent="0.3">
      <c r="A135" s="5">
        <v>141</v>
      </c>
      <c r="B135" s="2" t="s">
        <v>49</v>
      </c>
      <c r="C135">
        <v>773</v>
      </c>
      <c r="D135">
        <v>2905</v>
      </c>
      <c r="E135" s="3">
        <f t="shared" si="2"/>
        <v>26.609294320137693</v>
      </c>
      <c r="F135" cm="1">
        <f t="array" ref="F135">IF(AND(E135&gt;=0,E135&lt;=10),0,IF(AND(E135&gt;10,E135&lt;=20),1, IF(AND(E135&gt;20,E135&lt;=30),2,IF(AND(E135&gt;30,E135&lt;=40),3, IF(AND(E135&gt;40,E135&lt;=50),4,”5”)))))</f>
        <v>2</v>
      </c>
    </row>
    <row r="136" spans="1:6" x14ac:dyDescent="0.3">
      <c r="A136" s="5">
        <v>142</v>
      </c>
      <c r="B136" s="2" t="s">
        <v>45</v>
      </c>
      <c r="C136">
        <v>1099</v>
      </c>
      <c r="D136">
        <v>2648</v>
      </c>
      <c r="E136" s="3">
        <f t="shared" si="2"/>
        <v>41.503021148036254</v>
      </c>
      <c r="F136" cm="1">
        <f t="array" ref="F136">IF(AND(E136&gt;=0,E136&lt;=10),0,IF(AND(E136&gt;10,E136&lt;=20),1, IF(AND(E136&gt;20,E136&lt;=30),2,IF(AND(E136&gt;30,E136&lt;=40),3, IF(AND(E136&gt;40,E136&lt;=50),4,”5”)))))</f>
        <v>4</v>
      </c>
    </row>
    <row r="137" spans="1:6" x14ac:dyDescent="0.3">
      <c r="E137" s="3"/>
    </row>
  </sheetData>
  <autoFilter ref="A1:A143" xr:uid="{00000000-0009-0000-0000-000000000000}">
    <sortState xmlns:xlrd2="http://schemas.microsoft.com/office/spreadsheetml/2017/richdata2" ref="A2:H136">
      <sortCondition ref="A1:A143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Election_2011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ramya</cp:lastModifiedBy>
  <dcterms:created xsi:type="dcterms:W3CDTF">2022-11-12T23:11:08Z</dcterms:created>
  <dcterms:modified xsi:type="dcterms:W3CDTF">2022-12-05T00:13:56Z</dcterms:modified>
</cp:coreProperties>
</file>