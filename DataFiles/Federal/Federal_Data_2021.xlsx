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ost\Desktop\Big Data\Final Clean Project\DataFiles\Federal\"/>
    </mc:Choice>
  </mc:AlternateContent>
  <xr:revisionPtr revIDLastSave="0" documentId="13_ncr:1_{F96ACFF3-8282-4AF9-90D6-8C5654ED98D8}" xr6:coauthVersionLast="47" xr6:coauthVersionMax="47" xr10:uidLastSave="{00000000-0000-0000-0000-000000000000}"/>
  <bookViews>
    <workbookView xWindow="-108" yWindow="-108" windowWidth="23256" windowHeight="12456" xr2:uid="{F4D6C90E-7927-4A05-AF5F-1C5916CF0C0D}"/>
  </bookViews>
  <sheets>
    <sheet name="202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18" i="1" l="1" a="1"/>
  <c r="J1118" i="1" s="1"/>
  <c r="B1118" i="1"/>
  <c r="A1118" i="1" s="1"/>
  <c r="J1117" i="1" a="1"/>
  <c r="J1117" i="1" s="1"/>
  <c r="B1117" i="1"/>
  <c r="A1117" i="1"/>
  <c r="J1116" i="1" a="1"/>
  <c r="J1116" i="1" s="1"/>
  <c r="B1116" i="1"/>
  <c r="A1116" i="1" s="1"/>
  <c r="J1115" i="1" a="1"/>
  <c r="J1115" i="1" s="1"/>
  <c r="B1115" i="1"/>
  <c r="A1115" i="1"/>
  <c r="J1114" i="1" a="1"/>
  <c r="J1114" i="1" s="1"/>
  <c r="B1114" i="1"/>
  <c r="A1114" i="1" s="1"/>
  <c r="J1113" i="1" a="1"/>
  <c r="J1113" i="1" s="1"/>
  <c r="B1113" i="1"/>
  <c r="A1113" i="1"/>
  <c r="J1112" i="1" a="1"/>
  <c r="J1112" i="1" s="1"/>
  <c r="B1112" i="1"/>
  <c r="A1112" i="1" s="1"/>
  <c r="J1111" i="1" a="1"/>
  <c r="J1111" i="1" s="1"/>
  <c r="B1111" i="1"/>
  <c r="A1111" i="1"/>
  <c r="J1110" i="1" a="1"/>
  <c r="J1110" i="1" s="1"/>
  <c r="B1110" i="1"/>
  <c r="A1110" i="1" s="1"/>
  <c r="J1109" i="1" a="1"/>
  <c r="J1109" i="1" s="1"/>
  <c r="B1109" i="1"/>
  <c r="A1109" i="1"/>
  <c r="J1108" i="1" a="1"/>
  <c r="J1108" i="1" s="1"/>
  <c r="B1108" i="1"/>
  <c r="A1108" i="1" s="1"/>
  <c r="J1107" i="1" a="1"/>
  <c r="J1107" i="1" s="1"/>
  <c r="B1107" i="1"/>
  <c r="A1107" i="1" s="1"/>
  <c r="J1106" i="1" a="1"/>
  <c r="J1106" i="1" s="1"/>
  <c r="B1106" i="1"/>
  <c r="A1106" i="1" s="1"/>
  <c r="J1105" i="1" a="1"/>
  <c r="J1105" i="1" s="1"/>
  <c r="B1105" i="1"/>
  <c r="A1105" i="1" s="1"/>
  <c r="J1104" i="1" a="1"/>
  <c r="J1104" i="1" s="1"/>
  <c r="B1104" i="1"/>
  <c r="A1104" i="1" s="1"/>
  <c r="J1103" i="1" a="1"/>
  <c r="J1103" i="1" s="1"/>
  <c r="B1103" i="1"/>
  <c r="A1103" i="1" s="1"/>
  <c r="J1102" i="1" a="1"/>
  <c r="J1102" i="1" s="1"/>
  <c r="B1102" i="1"/>
  <c r="A1102" i="1" s="1"/>
  <c r="J1101" i="1" a="1"/>
  <c r="J1101" i="1" s="1"/>
  <c r="B1101" i="1"/>
  <c r="A1101" i="1"/>
  <c r="J1100" i="1" a="1"/>
  <c r="J1100" i="1" s="1"/>
  <c r="B1100" i="1"/>
  <c r="A1100" i="1" s="1"/>
  <c r="J1099" i="1" a="1"/>
  <c r="J1099" i="1" s="1"/>
  <c r="B1099" i="1"/>
  <c r="A1099" i="1" s="1"/>
  <c r="J1098" i="1" a="1"/>
  <c r="J1098" i="1" s="1"/>
  <c r="B1098" i="1"/>
  <c r="A1098" i="1" s="1"/>
  <c r="J1097" i="1" a="1"/>
  <c r="J1097" i="1" s="1"/>
  <c r="B1097" i="1"/>
  <c r="A1097" i="1"/>
  <c r="J1096" i="1" a="1"/>
  <c r="J1096" i="1" s="1"/>
  <c r="B1096" i="1"/>
  <c r="A1096" i="1" s="1"/>
  <c r="J1095" i="1" a="1"/>
  <c r="J1095" i="1" s="1"/>
  <c r="B1095" i="1"/>
  <c r="A1095" i="1" s="1"/>
  <c r="J1094" i="1" a="1"/>
  <c r="J1094" i="1" s="1"/>
  <c r="B1094" i="1"/>
  <c r="A1094" i="1" s="1"/>
  <c r="J1093" i="1" a="1"/>
  <c r="J1093" i="1" s="1"/>
  <c r="B1093" i="1"/>
  <c r="A1093" i="1" s="1"/>
  <c r="J1092" i="1" a="1"/>
  <c r="J1092" i="1" s="1"/>
  <c r="B1092" i="1"/>
  <c r="A1092" i="1" s="1"/>
  <c r="J1091" i="1" a="1"/>
  <c r="J1091" i="1" s="1"/>
  <c r="B1091" i="1"/>
  <c r="A1091" i="1" s="1"/>
  <c r="J1090" i="1" a="1"/>
  <c r="J1090" i="1" s="1"/>
  <c r="B1090" i="1"/>
  <c r="A1090" i="1" s="1"/>
  <c r="J1089" i="1" a="1"/>
  <c r="J1089" i="1" s="1"/>
  <c r="B1089" i="1"/>
  <c r="A1089" i="1"/>
  <c r="J1088" i="1" a="1"/>
  <c r="J1088" i="1" s="1"/>
  <c r="B1088" i="1"/>
  <c r="A1088" i="1" s="1"/>
  <c r="J1087" i="1" a="1"/>
  <c r="J1087" i="1" s="1"/>
  <c r="B1087" i="1"/>
  <c r="A1087" i="1" s="1"/>
  <c r="J1086" i="1" a="1"/>
  <c r="J1086" i="1" s="1"/>
  <c r="B1086" i="1"/>
  <c r="A1086" i="1" s="1"/>
  <c r="J1085" i="1" a="1"/>
  <c r="J1085" i="1" s="1"/>
  <c r="B1085" i="1"/>
  <c r="A1085" i="1"/>
  <c r="J1084" i="1" a="1"/>
  <c r="J1084" i="1" s="1"/>
  <c r="B1084" i="1"/>
  <c r="A1084" i="1" s="1"/>
  <c r="J1083" i="1" a="1"/>
  <c r="J1083" i="1" s="1"/>
  <c r="B1083" i="1"/>
  <c r="A1083" i="1"/>
  <c r="J1082" i="1" a="1"/>
  <c r="J1082" i="1" s="1"/>
  <c r="B1082" i="1"/>
  <c r="A1082" i="1" s="1"/>
  <c r="J1081" i="1" a="1"/>
  <c r="J1081" i="1" s="1"/>
  <c r="B1081" i="1"/>
  <c r="A1081" i="1"/>
  <c r="J1080" i="1" a="1"/>
  <c r="J1080" i="1" s="1"/>
  <c r="B1080" i="1"/>
  <c r="A1080" i="1" s="1"/>
  <c r="I1079" i="1"/>
  <c r="J1079" i="1" s="1" a="1"/>
  <c r="J1079" i="1" s="1"/>
  <c r="B1079" i="1"/>
  <c r="A1079" i="1" s="1"/>
  <c r="J1078" i="1"/>
  <c r="J1078" i="1" a="1"/>
  <c r="B1078" i="1"/>
  <c r="A1078" i="1" s="1"/>
  <c r="J1077" i="1" a="1"/>
  <c r="J1077" i="1" s="1"/>
  <c r="B1077" i="1"/>
  <c r="A1077" i="1" s="1"/>
  <c r="J1076" i="1" a="1"/>
  <c r="J1076" i="1" s="1"/>
  <c r="B1076" i="1"/>
  <c r="A1076" i="1" s="1"/>
  <c r="J1075" i="1" a="1"/>
  <c r="J1075" i="1" s="1"/>
  <c r="B1075" i="1"/>
  <c r="A1075" i="1" s="1"/>
  <c r="J1074" i="1" a="1"/>
  <c r="J1074" i="1" s="1"/>
  <c r="B1074" i="1"/>
  <c r="A1074" i="1" s="1"/>
  <c r="J1073" i="1" a="1"/>
  <c r="J1073" i="1" s="1"/>
  <c r="B1073" i="1"/>
  <c r="A1073" i="1" s="1"/>
  <c r="J1072" i="1"/>
  <c r="J1072" i="1" a="1"/>
  <c r="B1072" i="1"/>
  <c r="A1072" i="1" s="1"/>
  <c r="J1071" i="1"/>
  <c r="J1071" i="1" a="1"/>
  <c r="B1071" i="1"/>
  <c r="A1071" i="1" s="1"/>
  <c r="J1070" i="1"/>
  <c r="J1070" i="1" a="1"/>
  <c r="B1070" i="1"/>
  <c r="A1070" i="1" s="1"/>
  <c r="J1069" i="1" a="1"/>
  <c r="J1069" i="1" s="1"/>
  <c r="B1069" i="1"/>
  <c r="A1069" i="1" s="1"/>
  <c r="J1068" i="1" a="1"/>
  <c r="J1068" i="1" s="1"/>
  <c r="B1068" i="1"/>
  <c r="A1068" i="1" s="1"/>
  <c r="J1067" i="1" a="1"/>
  <c r="J1067" i="1" s="1"/>
  <c r="B1067" i="1"/>
  <c r="A1067" i="1" s="1"/>
  <c r="J1066" i="1" a="1"/>
  <c r="J1066" i="1" s="1"/>
  <c r="B1066" i="1"/>
  <c r="A1066" i="1" s="1"/>
  <c r="J1065" i="1" a="1"/>
  <c r="J1065" i="1" s="1"/>
  <c r="B1065" i="1"/>
  <c r="A1065" i="1" s="1"/>
  <c r="J1064" i="1"/>
  <c r="J1064" i="1" a="1"/>
  <c r="B1064" i="1"/>
  <c r="A1064" i="1" s="1"/>
  <c r="J1063" i="1"/>
  <c r="J1063" i="1" a="1"/>
  <c r="B1063" i="1"/>
  <c r="A1063" i="1" s="1"/>
  <c r="J1062" i="1"/>
  <c r="J1062" i="1" a="1"/>
  <c r="B1062" i="1"/>
  <c r="A1062" i="1" s="1"/>
  <c r="J1061" i="1"/>
  <c r="J1061" i="1" a="1"/>
  <c r="B1061" i="1"/>
  <c r="A1061" i="1" s="1"/>
  <c r="J1060" i="1" a="1"/>
  <c r="J1060" i="1" s="1"/>
  <c r="B1060" i="1"/>
  <c r="A1060" i="1" s="1"/>
  <c r="J1059" i="1" a="1"/>
  <c r="J1059" i="1" s="1"/>
  <c r="B1059" i="1"/>
  <c r="A1059" i="1" s="1"/>
  <c r="J1058" i="1" a="1"/>
  <c r="J1058" i="1" s="1"/>
  <c r="B1058" i="1"/>
  <c r="A1058" i="1" s="1"/>
  <c r="J1057" i="1" a="1"/>
  <c r="J1057" i="1" s="1"/>
  <c r="B1057" i="1"/>
  <c r="A1057" i="1" s="1"/>
  <c r="J1056" i="1"/>
  <c r="J1056" i="1" a="1"/>
  <c r="B1056" i="1"/>
  <c r="A1056" i="1" s="1"/>
  <c r="J1055" i="1"/>
  <c r="J1055" i="1" a="1"/>
  <c r="B1055" i="1"/>
  <c r="A1055" i="1" s="1"/>
  <c r="J1054" i="1"/>
  <c r="J1054" i="1" a="1"/>
  <c r="B1054" i="1"/>
  <c r="A1054" i="1" s="1"/>
  <c r="J1053" i="1"/>
  <c r="J1053" i="1" a="1"/>
  <c r="B1053" i="1"/>
  <c r="A1053" i="1" s="1"/>
  <c r="J1052" i="1" a="1"/>
  <c r="J1052" i="1" s="1"/>
  <c r="B1052" i="1"/>
  <c r="A1052" i="1" s="1"/>
  <c r="J1051" i="1" a="1"/>
  <c r="J1051" i="1" s="1"/>
  <c r="B1051" i="1"/>
  <c r="A1051" i="1" s="1"/>
  <c r="J1050" i="1" a="1"/>
  <c r="J1050" i="1" s="1"/>
  <c r="B1050" i="1"/>
  <c r="A1050" i="1" s="1"/>
  <c r="J1049" i="1" a="1"/>
  <c r="J1049" i="1" s="1"/>
  <c r="B1049" i="1"/>
  <c r="A1049" i="1" s="1"/>
  <c r="J1048" i="1"/>
  <c r="J1048" i="1" a="1"/>
  <c r="B1048" i="1"/>
  <c r="A1048" i="1" s="1"/>
  <c r="J1047" i="1"/>
  <c r="J1047" i="1" a="1"/>
  <c r="B1047" i="1"/>
  <c r="A1047" i="1" s="1"/>
  <c r="J1046" i="1"/>
  <c r="J1046" i="1" a="1"/>
  <c r="B1046" i="1"/>
  <c r="A1046" i="1" s="1"/>
  <c r="J1045" i="1"/>
  <c r="J1045" i="1" a="1"/>
  <c r="B1045" i="1"/>
  <c r="A1045" i="1" s="1"/>
  <c r="J1044" i="1" a="1"/>
  <c r="J1044" i="1" s="1"/>
  <c r="B1044" i="1"/>
  <c r="A1044" i="1" s="1"/>
  <c r="J1043" i="1" a="1"/>
  <c r="J1043" i="1" s="1"/>
  <c r="B1043" i="1"/>
  <c r="A1043" i="1" s="1"/>
  <c r="J1042" i="1" a="1"/>
  <c r="J1042" i="1" s="1"/>
  <c r="B1042" i="1"/>
  <c r="A1042" i="1" s="1"/>
  <c r="J1041" i="1" a="1"/>
  <c r="J1041" i="1" s="1"/>
  <c r="B1041" i="1"/>
  <c r="A1041" i="1" s="1"/>
  <c r="J1040" i="1"/>
  <c r="J1040" i="1" a="1"/>
  <c r="B1040" i="1"/>
  <c r="A1040" i="1" s="1"/>
  <c r="J1039" i="1"/>
  <c r="J1039" i="1" a="1"/>
  <c r="B1039" i="1"/>
  <c r="A1039" i="1" s="1"/>
  <c r="J1038" i="1"/>
  <c r="J1038" i="1" a="1"/>
  <c r="B1038" i="1"/>
  <c r="A1038" i="1" s="1"/>
  <c r="J1037" i="1"/>
  <c r="J1037" i="1" a="1"/>
  <c r="B1037" i="1"/>
  <c r="A1037" i="1" s="1"/>
  <c r="J1036" i="1" a="1"/>
  <c r="J1036" i="1" s="1"/>
  <c r="B1036" i="1"/>
  <c r="A1036" i="1" s="1"/>
  <c r="J1035" i="1" a="1"/>
  <c r="J1035" i="1" s="1"/>
  <c r="B1035" i="1"/>
  <c r="A1035" i="1" s="1"/>
  <c r="J1034" i="1" a="1"/>
  <c r="J1034" i="1" s="1"/>
  <c r="B1034" i="1"/>
  <c r="A1034" i="1" s="1"/>
  <c r="J1033" i="1" a="1"/>
  <c r="J1033" i="1" s="1"/>
  <c r="B1033" i="1"/>
  <c r="A1033" i="1" s="1"/>
  <c r="J1032" i="1"/>
  <c r="J1032" i="1" a="1"/>
  <c r="B1032" i="1"/>
  <c r="A1032" i="1" s="1"/>
  <c r="J1031" i="1"/>
  <c r="J1031" i="1" a="1"/>
  <c r="B1031" i="1"/>
  <c r="A1031" i="1" s="1"/>
  <c r="J1030" i="1"/>
  <c r="J1030" i="1" a="1"/>
  <c r="B1030" i="1"/>
  <c r="A1030" i="1" s="1"/>
  <c r="J1029" i="1"/>
  <c r="J1029" i="1" a="1"/>
  <c r="B1029" i="1"/>
  <c r="A1029" i="1" s="1"/>
  <c r="J1028" i="1" a="1"/>
  <c r="J1028" i="1" s="1"/>
  <c r="B1028" i="1"/>
  <c r="A1028" i="1" s="1"/>
  <c r="J1027" i="1" a="1"/>
  <c r="J1027" i="1" s="1"/>
  <c r="B1027" i="1"/>
  <c r="A1027" i="1" s="1"/>
  <c r="J1026" i="1" a="1"/>
  <c r="J1026" i="1" s="1"/>
  <c r="B1026" i="1"/>
  <c r="A1026" i="1" s="1"/>
  <c r="J1025" i="1" a="1"/>
  <c r="J1025" i="1" s="1"/>
  <c r="B1025" i="1"/>
  <c r="A1025" i="1" s="1"/>
  <c r="J1024" i="1"/>
  <c r="J1024" i="1" a="1"/>
  <c r="B1024" i="1"/>
  <c r="A1024" i="1" s="1"/>
  <c r="J1023" i="1"/>
  <c r="J1023" i="1" a="1"/>
  <c r="B1023" i="1"/>
  <c r="A1023" i="1" s="1"/>
  <c r="J1022" i="1"/>
  <c r="J1022" i="1" a="1"/>
  <c r="B1022" i="1"/>
  <c r="A1022" i="1" s="1"/>
  <c r="J1021" i="1"/>
  <c r="J1021" i="1" a="1"/>
  <c r="B1021" i="1"/>
  <c r="A1021" i="1" s="1"/>
  <c r="J1020" i="1" a="1"/>
  <c r="J1020" i="1" s="1"/>
  <c r="B1020" i="1"/>
  <c r="A1020" i="1" s="1"/>
  <c r="J1019" i="1" a="1"/>
  <c r="J1019" i="1" s="1"/>
  <c r="B1019" i="1"/>
  <c r="A1019" i="1" s="1"/>
  <c r="J1018" i="1" a="1"/>
  <c r="J1018" i="1" s="1"/>
  <c r="B1018" i="1"/>
  <c r="A1018" i="1" s="1"/>
  <c r="J1017" i="1" a="1"/>
  <c r="J1017" i="1" s="1"/>
  <c r="B1017" i="1"/>
  <c r="A1017" i="1" s="1"/>
  <c r="J1016" i="1"/>
  <c r="J1016" i="1" a="1"/>
  <c r="B1016" i="1"/>
  <c r="A1016" i="1" s="1"/>
  <c r="J1015" i="1"/>
  <c r="J1015" i="1" a="1"/>
  <c r="B1015" i="1"/>
  <c r="A1015" i="1" s="1"/>
  <c r="J1014" i="1"/>
  <c r="J1014" i="1" a="1"/>
  <c r="B1014" i="1"/>
  <c r="A1014" i="1" s="1"/>
  <c r="J1013" i="1"/>
  <c r="J1013" i="1" a="1"/>
  <c r="B1013" i="1"/>
  <c r="A1013" i="1" s="1"/>
  <c r="J1012" i="1" a="1"/>
  <c r="J1012" i="1" s="1"/>
  <c r="B1012" i="1"/>
  <c r="A1012" i="1" s="1"/>
  <c r="J1011" i="1" a="1"/>
  <c r="J1011" i="1" s="1"/>
  <c r="B1011" i="1"/>
  <c r="A1011" i="1" s="1"/>
  <c r="J1010" i="1" a="1"/>
  <c r="J1010" i="1" s="1"/>
  <c r="B1010" i="1"/>
  <c r="A1010" i="1" s="1"/>
  <c r="J1009" i="1" a="1"/>
  <c r="J1009" i="1" s="1"/>
  <c r="B1009" i="1"/>
  <c r="A1009" i="1" s="1"/>
  <c r="J1008" i="1"/>
  <c r="J1008" i="1" a="1"/>
  <c r="B1008" i="1"/>
  <c r="A1008" i="1" s="1"/>
  <c r="J1007" i="1"/>
  <c r="J1007" i="1" a="1"/>
  <c r="B1007" i="1"/>
  <c r="A1007" i="1" s="1"/>
  <c r="J1006" i="1"/>
  <c r="J1006" i="1" a="1"/>
  <c r="B1006" i="1"/>
  <c r="A1006" i="1" s="1"/>
  <c r="J1005" i="1"/>
  <c r="J1005" i="1" a="1"/>
  <c r="B1005" i="1"/>
  <c r="A1005" i="1" s="1"/>
  <c r="J1004" i="1" a="1"/>
  <c r="J1004" i="1" s="1"/>
  <c r="B1004" i="1"/>
  <c r="A1004" i="1" s="1"/>
  <c r="J1003" i="1" a="1"/>
  <c r="J1003" i="1" s="1"/>
  <c r="B1003" i="1"/>
  <c r="A1003" i="1" s="1"/>
  <c r="J1002" i="1" a="1"/>
  <c r="J1002" i="1" s="1"/>
  <c r="B1002" i="1"/>
  <c r="A1002" i="1" s="1"/>
  <c r="J1001" i="1" a="1"/>
  <c r="J1001" i="1" s="1"/>
  <c r="B1001" i="1"/>
  <c r="A1001" i="1" s="1"/>
  <c r="J1000" i="1"/>
  <c r="J1000" i="1" a="1"/>
  <c r="B1000" i="1"/>
  <c r="A1000" i="1" s="1"/>
  <c r="J999" i="1"/>
  <c r="J999" i="1" a="1"/>
  <c r="B999" i="1"/>
  <c r="A999" i="1" s="1"/>
  <c r="J998" i="1"/>
  <c r="J998" i="1" a="1"/>
  <c r="B998" i="1"/>
  <c r="A998" i="1" s="1"/>
  <c r="J997" i="1"/>
  <c r="J997" i="1" a="1"/>
  <c r="B997" i="1"/>
  <c r="A997" i="1" s="1"/>
  <c r="J996" i="1" a="1"/>
  <c r="J996" i="1" s="1"/>
  <c r="B996" i="1"/>
  <c r="A996" i="1" s="1"/>
  <c r="J995" i="1" a="1"/>
  <c r="J995" i="1" s="1"/>
  <c r="B995" i="1"/>
  <c r="A995" i="1" s="1"/>
  <c r="J994" i="1" a="1"/>
  <c r="J994" i="1" s="1"/>
  <c r="B994" i="1"/>
  <c r="A994" i="1" s="1"/>
  <c r="J993" i="1" a="1"/>
  <c r="J993" i="1" s="1"/>
  <c r="B993" i="1"/>
  <c r="A993" i="1" s="1"/>
  <c r="J992" i="1"/>
  <c r="J992" i="1" a="1"/>
  <c r="B992" i="1"/>
  <c r="A992" i="1" s="1"/>
  <c r="J991" i="1"/>
  <c r="J991" i="1" a="1"/>
  <c r="B991" i="1"/>
  <c r="A991" i="1" s="1"/>
  <c r="J990" i="1"/>
  <c r="J990" i="1" a="1"/>
  <c r="B990" i="1"/>
  <c r="A990" i="1" s="1"/>
  <c r="J989" i="1"/>
  <c r="J989" i="1" a="1"/>
  <c r="B989" i="1"/>
  <c r="A989" i="1" s="1"/>
  <c r="J988" i="1" a="1"/>
  <c r="J988" i="1" s="1"/>
  <c r="B988" i="1"/>
  <c r="A988" i="1" s="1"/>
  <c r="J987" i="1" a="1"/>
  <c r="J987" i="1" s="1"/>
  <c r="B987" i="1"/>
  <c r="A987" i="1" s="1"/>
  <c r="J986" i="1" a="1"/>
  <c r="J986" i="1" s="1"/>
  <c r="B986" i="1"/>
  <c r="A986" i="1" s="1"/>
  <c r="J985" i="1" a="1"/>
  <c r="J985" i="1" s="1"/>
  <c r="B985" i="1"/>
  <c r="A985" i="1" s="1"/>
  <c r="J984" i="1"/>
  <c r="J984" i="1" a="1"/>
  <c r="B984" i="1"/>
  <c r="A984" i="1" s="1"/>
  <c r="J983" i="1"/>
  <c r="J983" i="1" a="1"/>
  <c r="B983" i="1"/>
  <c r="A983" i="1" s="1"/>
  <c r="J982" i="1"/>
  <c r="J982" i="1" a="1"/>
  <c r="B982" i="1"/>
  <c r="A982" i="1" s="1"/>
  <c r="J981" i="1"/>
  <c r="J981" i="1" a="1"/>
  <c r="B981" i="1"/>
  <c r="A981" i="1" s="1"/>
  <c r="J980" i="1" a="1"/>
  <c r="J980" i="1" s="1"/>
  <c r="B980" i="1"/>
  <c r="A980" i="1" s="1"/>
  <c r="J979" i="1" a="1"/>
  <c r="J979" i="1" s="1"/>
  <c r="B979" i="1"/>
  <c r="A979" i="1" s="1"/>
  <c r="J978" i="1" a="1"/>
  <c r="J978" i="1" s="1"/>
  <c r="B978" i="1"/>
  <c r="A978" i="1" s="1"/>
  <c r="J977" i="1" a="1"/>
  <c r="J977" i="1" s="1"/>
  <c r="B977" i="1"/>
  <c r="A977" i="1" s="1"/>
  <c r="J976" i="1"/>
  <c r="J976" i="1" a="1"/>
  <c r="B976" i="1"/>
  <c r="A976" i="1" s="1"/>
  <c r="J975" i="1" a="1"/>
  <c r="J975" i="1" s="1"/>
  <c r="B975" i="1"/>
  <c r="A975" i="1" s="1"/>
  <c r="J974" i="1"/>
  <c r="J974" i="1" a="1"/>
  <c r="B974" i="1"/>
  <c r="A974" i="1" s="1"/>
  <c r="J973" i="1"/>
  <c r="J973" i="1" a="1"/>
  <c r="B973" i="1"/>
  <c r="A973" i="1" s="1"/>
  <c r="J972" i="1" a="1"/>
  <c r="J972" i="1" s="1"/>
  <c r="B972" i="1"/>
  <c r="A972" i="1" s="1"/>
  <c r="J971" i="1" a="1"/>
  <c r="J971" i="1" s="1"/>
  <c r="B971" i="1"/>
  <c r="A971" i="1" s="1"/>
  <c r="J970" i="1" a="1"/>
  <c r="J970" i="1" s="1"/>
  <c r="B970" i="1"/>
  <c r="A970" i="1" s="1"/>
  <c r="J969" i="1" a="1"/>
  <c r="J969" i="1" s="1"/>
  <c r="B969" i="1"/>
  <c r="A969" i="1" s="1"/>
  <c r="J968" i="1"/>
  <c r="J968" i="1" a="1"/>
  <c r="B968" i="1"/>
  <c r="A968" i="1" s="1"/>
  <c r="J967" i="1" a="1"/>
  <c r="J967" i="1" s="1"/>
  <c r="B967" i="1"/>
  <c r="A967" i="1" s="1"/>
  <c r="J966" i="1"/>
  <c r="J966" i="1" a="1"/>
  <c r="B966" i="1"/>
  <c r="A966" i="1" s="1"/>
  <c r="J965" i="1"/>
  <c r="J965" i="1" a="1"/>
  <c r="B965" i="1"/>
  <c r="A965" i="1" s="1"/>
  <c r="J964" i="1" a="1"/>
  <c r="J964" i="1" s="1"/>
  <c r="B964" i="1"/>
  <c r="A964" i="1" s="1"/>
  <c r="J963" i="1" a="1"/>
  <c r="J963" i="1" s="1"/>
  <c r="B963" i="1"/>
  <c r="A963" i="1" s="1"/>
  <c r="J962" i="1" a="1"/>
  <c r="J962" i="1" s="1"/>
  <c r="B962" i="1"/>
  <c r="A962" i="1" s="1"/>
  <c r="J961" i="1" a="1"/>
  <c r="J961" i="1" s="1"/>
  <c r="B961" i="1"/>
  <c r="A961" i="1" s="1"/>
  <c r="J960" i="1"/>
  <c r="J960" i="1" a="1"/>
  <c r="B960" i="1"/>
  <c r="A960" i="1" s="1"/>
  <c r="J959" i="1"/>
  <c r="J959" i="1" a="1"/>
  <c r="B959" i="1"/>
  <c r="A959" i="1" s="1"/>
  <c r="J958" i="1"/>
  <c r="J958" i="1" a="1"/>
  <c r="B958" i="1"/>
  <c r="A958" i="1" s="1"/>
  <c r="J957" i="1"/>
  <c r="J957" i="1" a="1"/>
  <c r="B957" i="1"/>
  <c r="A957" i="1" s="1"/>
  <c r="J956" i="1" a="1"/>
  <c r="J956" i="1" s="1"/>
  <c r="B956" i="1"/>
  <c r="A956" i="1" s="1"/>
  <c r="J955" i="1"/>
  <c r="J955" i="1" a="1"/>
  <c r="B955" i="1"/>
  <c r="A955" i="1" s="1"/>
  <c r="J954" i="1" a="1"/>
  <c r="J954" i="1" s="1"/>
  <c r="B954" i="1"/>
  <c r="A954" i="1" s="1"/>
  <c r="J953" i="1" a="1"/>
  <c r="J953" i="1" s="1"/>
  <c r="B953" i="1"/>
  <c r="A953" i="1" s="1"/>
  <c r="J952" i="1"/>
  <c r="J952" i="1" a="1"/>
  <c r="B952" i="1"/>
  <c r="A952" i="1" s="1"/>
  <c r="J951" i="1"/>
  <c r="J951" i="1" a="1"/>
  <c r="B951" i="1"/>
  <c r="A951" i="1" s="1"/>
  <c r="J950" i="1"/>
  <c r="J950" i="1" a="1"/>
  <c r="B950" i="1"/>
  <c r="A950" i="1" s="1"/>
  <c r="J949" i="1"/>
  <c r="J949" i="1" a="1"/>
  <c r="B949" i="1"/>
  <c r="A949" i="1" s="1"/>
  <c r="J948" i="1" a="1"/>
  <c r="J948" i="1" s="1"/>
  <c r="B948" i="1"/>
  <c r="A948" i="1"/>
  <c r="J947" i="1"/>
  <c r="J947" i="1" a="1"/>
  <c r="B947" i="1"/>
  <c r="A947" i="1" s="1"/>
  <c r="J946" i="1" a="1"/>
  <c r="J946" i="1" s="1"/>
  <c r="B946" i="1"/>
  <c r="A946" i="1"/>
  <c r="J945" i="1" a="1"/>
  <c r="J945" i="1" s="1"/>
  <c r="B945" i="1"/>
  <c r="A945" i="1" s="1"/>
  <c r="J944" i="1" a="1"/>
  <c r="J944" i="1" s="1"/>
  <c r="B944" i="1"/>
  <c r="A944" i="1"/>
  <c r="J943" i="1" a="1"/>
  <c r="J943" i="1" s="1"/>
  <c r="B943" i="1"/>
  <c r="A943" i="1" s="1"/>
  <c r="J942" i="1" a="1"/>
  <c r="J942" i="1" s="1"/>
  <c r="B942" i="1"/>
  <c r="A942" i="1"/>
  <c r="J941" i="1" a="1"/>
  <c r="J941" i="1" s="1"/>
  <c r="B941" i="1"/>
  <c r="A941" i="1" s="1"/>
  <c r="J940" i="1" a="1"/>
  <c r="J940" i="1" s="1"/>
  <c r="B940" i="1"/>
  <c r="A940" i="1"/>
  <c r="J939" i="1" a="1"/>
  <c r="J939" i="1" s="1"/>
  <c r="B939" i="1"/>
  <c r="A939" i="1" s="1"/>
  <c r="J938" i="1" a="1"/>
  <c r="J938" i="1" s="1"/>
  <c r="B938" i="1"/>
  <c r="A938" i="1" s="1"/>
  <c r="J937" i="1" a="1"/>
  <c r="J937" i="1" s="1"/>
  <c r="B937" i="1"/>
  <c r="A937" i="1" s="1"/>
  <c r="J936" i="1" a="1"/>
  <c r="J936" i="1" s="1"/>
  <c r="B936" i="1"/>
  <c r="A936" i="1" s="1"/>
  <c r="J935" i="1" a="1"/>
  <c r="J935" i="1" s="1"/>
  <c r="B935" i="1"/>
  <c r="A935" i="1" s="1"/>
  <c r="J934" i="1" a="1"/>
  <c r="J934" i="1" s="1"/>
  <c r="B934" i="1"/>
  <c r="A934" i="1" s="1"/>
  <c r="J933" i="1" a="1"/>
  <c r="J933" i="1" s="1"/>
  <c r="B933" i="1"/>
  <c r="A933" i="1" s="1"/>
  <c r="J932" i="1" a="1"/>
  <c r="J932" i="1" s="1"/>
  <c r="B932" i="1"/>
  <c r="A932" i="1" s="1"/>
  <c r="J931" i="1" a="1"/>
  <c r="J931" i="1" s="1"/>
  <c r="B931" i="1"/>
  <c r="A931" i="1" s="1"/>
  <c r="J930" i="1" a="1"/>
  <c r="J930" i="1" s="1"/>
  <c r="B930" i="1"/>
  <c r="A930" i="1"/>
  <c r="J929" i="1" a="1"/>
  <c r="J929" i="1" s="1"/>
  <c r="B929" i="1"/>
  <c r="A929" i="1" s="1"/>
  <c r="J928" i="1" a="1"/>
  <c r="J928" i="1" s="1"/>
  <c r="I928" i="1"/>
  <c r="B928" i="1"/>
  <c r="A928" i="1" s="1"/>
  <c r="J927" i="1" a="1"/>
  <c r="J927" i="1" s="1"/>
  <c r="B927" i="1"/>
  <c r="A927" i="1" s="1"/>
  <c r="J926" i="1"/>
  <c r="J926" i="1" a="1"/>
  <c r="B926" i="1"/>
  <c r="A926" i="1" s="1"/>
  <c r="J925" i="1" a="1"/>
  <c r="J925" i="1" s="1"/>
  <c r="B925" i="1"/>
  <c r="A925" i="1" s="1"/>
  <c r="J924" i="1"/>
  <c r="J924" i="1" a="1"/>
  <c r="B924" i="1"/>
  <c r="A924" i="1" s="1"/>
  <c r="J923" i="1" a="1"/>
  <c r="J923" i="1" s="1"/>
  <c r="B923" i="1"/>
  <c r="A923" i="1" s="1"/>
  <c r="J922" i="1"/>
  <c r="J922" i="1" a="1"/>
  <c r="B922" i="1"/>
  <c r="A922" i="1" s="1"/>
  <c r="J921" i="1" a="1"/>
  <c r="J921" i="1" s="1"/>
  <c r="B921" i="1"/>
  <c r="A921" i="1" s="1"/>
  <c r="J920" i="1" a="1"/>
  <c r="J920" i="1" s="1"/>
  <c r="B920" i="1"/>
  <c r="A920" i="1" s="1"/>
  <c r="J919" i="1" a="1"/>
  <c r="J919" i="1" s="1"/>
  <c r="B919" i="1"/>
  <c r="A919" i="1" s="1"/>
  <c r="J918" i="1" a="1"/>
  <c r="J918" i="1" s="1"/>
  <c r="B918" i="1"/>
  <c r="A918" i="1" s="1"/>
  <c r="J917" i="1" a="1"/>
  <c r="J917" i="1" s="1"/>
  <c r="B917" i="1"/>
  <c r="A917" i="1" s="1"/>
  <c r="J916" i="1" a="1"/>
  <c r="J916" i="1" s="1"/>
  <c r="B916" i="1"/>
  <c r="A916" i="1" s="1"/>
  <c r="J915" i="1" a="1"/>
  <c r="J915" i="1" s="1"/>
  <c r="B915" i="1"/>
  <c r="A915" i="1" s="1"/>
  <c r="J914" i="1"/>
  <c r="J914" i="1" a="1"/>
  <c r="B914" i="1"/>
  <c r="A914" i="1" s="1"/>
  <c r="J913" i="1" a="1"/>
  <c r="J913" i="1" s="1"/>
  <c r="B913" i="1"/>
  <c r="A913" i="1" s="1"/>
  <c r="J912" i="1"/>
  <c r="J912" i="1" a="1"/>
  <c r="B912" i="1"/>
  <c r="A912" i="1" s="1"/>
  <c r="J911" i="1" a="1"/>
  <c r="J911" i="1" s="1"/>
  <c r="B911" i="1"/>
  <c r="A911" i="1" s="1"/>
  <c r="J910" i="1"/>
  <c r="J910" i="1" a="1"/>
  <c r="B910" i="1"/>
  <c r="A910" i="1" s="1"/>
  <c r="J909" i="1" a="1"/>
  <c r="J909" i="1" s="1"/>
  <c r="B909" i="1"/>
  <c r="A909" i="1" s="1"/>
  <c r="J908" i="1" a="1"/>
  <c r="J908" i="1" s="1"/>
  <c r="B908" i="1"/>
  <c r="A908" i="1" s="1"/>
  <c r="J907" i="1" a="1"/>
  <c r="J907" i="1" s="1"/>
  <c r="B907" i="1"/>
  <c r="A907" i="1" s="1"/>
  <c r="J906" i="1"/>
  <c r="J906" i="1" a="1"/>
  <c r="B906" i="1"/>
  <c r="A906" i="1" s="1"/>
  <c r="J905" i="1" a="1"/>
  <c r="J905" i="1" s="1"/>
  <c r="B905" i="1"/>
  <c r="A905" i="1" s="1"/>
  <c r="J904" i="1" a="1"/>
  <c r="J904" i="1" s="1"/>
  <c r="B904" i="1"/>
  <c r="A904" i="1" s="1"/>
  <c r="J903" i="1" a="1"/>
  <c r="J903" i="1" s="1"/>
  <c r="B903" i="1"/>
  <c r="A903" i="1" s="1"/>
  <c r="J902" i="1" a="1"/>
  <c r="J902" i="1" s="1"/>
  <c r="B902" i="1"/>
  <c r="A902" i="1" s="1"/>
  <c r="J901" i="1" a="1"/>
  <c r="J901" i="1" s="1"/>
  <c r="B901" i="1"/>
  <c r="A901" i="1" s="1"/>
  <c r="J900" i="1" a="1"/>
  <c r="J900" i="1" s="1"/>
  <c r="B900" i="1"/>
  <c r="A900" i="1" s="1"/>
  <c r="J899" i="1" a="1"/>
  <c r="J899" i="1" s="1"/>
  <c r="B899" i="1"/>
  <c r="A899" i="1" s="1"/>
  <c r="J898" i="1"/>
  <c r="J898" i="1" a="1"/>
  <c r="B898" i="1"/>
  <c r="A898" i="1" s="1"/>
  <c r="J897" i="1" a="1"/>
  <c r="J897" i="1" s="1"/>
  <c r="B897" i="1"/>
  <c r="A897" i="1" s="1"/>
  <c r="J896" i="1"/>
  <c r="J896" i="1" a="1"/>
  <c r="B896" i="1"/>
  <c r="A896" i="1" s="1"/>
  <c r="J895" i="1" a="1"/>
  <c r="J895" i="1" s="1"/>
  <c r="B895" i="1"/>
  <c r="A895" i="1" s="1"/>
  <c r="J894" i="1"/>
  <c r="J894" i="1" a="1"/>
  <c r="B894" i="1"/>
  <c r="A894" i="1" s="1"/>
  <c r="J893" i="1" a="1"/>
  <c r="J893" i="1" s="1"/>
  <c r="B893" i="1"/>
  <c r="A893" i="1" s="1"/>
  <c r="J892" i="1" a="1"/>
  <c r="J892" i="1" s="1"/>
  <c r="B892" i="1"/>
  <c r="A892" i="1" s="1"/>
  <c r="J891" i="1" a="1"/>
  <c r="J891" i="1" s="1"/>
  <c r="B891" i="1"/>
  <c r="A891" i="1" s="1"/>
  <c r="J890" i="1"/>
  <c r="J890" i="1" a="1"/>
  <c r="B890" i="1"/>
  <c r="A890" i="1" s="1"/>
  <c r="J889" i="1" a="1"/>
  <c r="J889" i="1" s="1"/>
  <c r="B889" i="1"/>
  <c r="A889" i="1" s="1"/>
  <c r="J888" i="1" a="1"/>
  <c r="J888" i="1" s="1"/>
  <c r="B888" i="1"/>
  <c r="A888" i="1" s="1"/>
  <c r="J887" i="1" a="1"/>
  <c r="J887" i="1" s="1"/>
  <c r="B887" i="1"/>
  <c r="A887" i="1" s="1"/>
  <c r="J886" i="1" a="1"/>
  <c r="J886" i="1" s="1"/>
  <c r="B886" i="1"/>
  <c r="A886" i="1" s="1"/>
  <c r="J885" i="1" a="1"/>
  <c r="J885" i="1" s="1"/>
  <c r="B885" i="1"/>
  <c r="A885" i="1" s="1"/>
  <c r="J884" i="1" a="1"/>
  <c r="J884" i="1" s="1"/>
  <c r="B884" i="1"/>
  <c r="A884" i="1" s="1"/>
  <c r="J883" i="1" a="1"/>
  <c r="J883" i="1" s="1"/>
  <c r="B883" i="1"/>
  <c r="A883" i="1" s="1"/>
  <c r="J882" i="1"/>
  <c r="J882" i="1" a="1"/>
  <c r="B882" i="1"/>
  <c r="A882" i="1" s="1"/>
  <c r="J881" i="1" a="1"/>
  <c r="J881" i="1" s="1"/>
  <c r="B881" i="1"/>
  <c r="A881" i="1" s="1"/>
  <c r="J880" i="1"/>
  <c r="J880" i="1" a="1"/>
  <c r="B880" i="1"/>
  <c r="A880" i="1" s="1"/>
  <c r="J879" i="1" a="1"/>
  <c r="J879" i="1" s="1"/>
  <c r="B879" i="1"/>
  <c r="A879" i="1" s="1"/>
  <c r="J878" i="1"/>
  <c r="J878" i="1" a="1"/>
  <c r="B878" i="1"/>
  <c r="A878" i="1" s="1"/>
  <c r="J877" i="1" a="1"/>
  <c r="J877" i="1" s="1"/>
  <c r="B877" i="1"/>
  <c r="A877" i="1" s="1"/>
  <c r="J876" i="1"/>
  <c r="J876" i="1" a="1"/>
  <c r="B876" i="1"/>
  <c r="A876" i="1" s="1"/>
  <c r="J875" i="1" a="1"/>
  <c r="J875" i="1" s="1"/>
  <c r="B875" i="1"/>
  <c r="A875" i="1" s="1"/>
  <c r="J874" i="1"/>
  <c r="J874" i="1" a="1"/>
  <c r="B874" i="1"/>
  <c r="A874" i="1" s="1"/>
  <c r="J873" i="1" a="1"/>
  <c r="J873" i="1" s="1"/>
  <c r="B873" i="1"/>
  <c r="A873" i="1" s="1"/>
  <c r="J872" i="1" a="1"/>
  <c r="J872" i="1" s="1"/>
  <c r="B872" i="1"/>
  <c r="A872" i="1" s="1"/>
  <c r="J871" i="1" a="1"/>
  <c r="J871" i="1" s="1"/>
  <c r="B871" i="1"/>
  <c r="A871" i="1" s="1"/>
  <c r="J870" i="1" a="1"/>
  <c r="J870" i="1" s="1"/>
  <c r="B870" i="1"/>
  <c r="A870" i="1" s="1"/>
  <c r="J869" i="1" a="1"/>
  <c r="J869" i="1" s="1"/>
  <c r="B869" i="1"/>
  <c r="A869" i="1" s="1"/>
  <c r="J868" i="1" a="1"/>
  <c r="J868" i="1" s="1"/>
  <c r="B868" i="1"/>
  <c r="A868" i="1" s="1"/>
  <c r="J867" i="1" a="1"/>
  <c r="J867" i="1" s="1"/>
  <c r="B867" i="1"/>
  <c r="A867" i="1" s="1"/>
  <c r="J866" i="1"/>
  <c r="J866" i="1" a="1"/>
  <c r="B866" i="1"/>
  <c r="A866" i="1" s="1"/>
  <c r="J865" i="1" a="1"/>
  <c r="J865" i="1" s="1"/>
  <c r="B865" i="1"/>
  <c r="A865" i="1" s="1"/>
  <c r="J864" i="1"/>
  <c r="J864" i="1" a="1"/>
  <c r="B864" i="1"/>
  <c r="A864" i="1" s="1"/>
  <c r="J863" i="1" a="1"/>
  <c r="J863" i="1" s="1"/>
  <c r="B863" i="1"/>
  <c r="A863" i="1" s="1"/>
  <c r="J862" i="1"/>
  <c r="J862" i="1" a="1"/>
  <c r="B862" i="1"/>
  <c r="A862" i="1" s="1"/>
  <c r="J861" i="1" a="1"/>
  <c r="J861" i="1" s="1"/>
  <c r="B861" i="1"/>
  <c r="A861" i="1" s="1"/>
  <c r="J860" i="1"/>
  <c r="J860" i="1" a="1"/>
  <c r="B860" i="1"/>
  <c r="A860" i="1" s="1"/>
  <c r="J859" i="1" a="1"/>
  <c r="J859" i="1" s="1"/>
  <c r="B859" i="1"/>
  <c r="A859" i="1" s="1"/>
  <c r="J858" i="1"/>
  <c r="J858" i="1" a="1"/>
  <c r="B858" i="1"/>
  <c r="A858" i="1" s="1"/>
  <c r="J857" i="1" a="1"/>
  <c r="J857" i="1" s="1"/>
  <c r="B857" i="1"/>
  <c r="A857" i="1" s="1"/>
  <c r="J856" i="1" a="1"/>
  <c r="J856" i="1" s="1"/>
  <c r="B856" i="1"/>
  <c r="A856" i="1" s="1"/>
  <c r="J855" i="1" a="1"/>
  <c r="J855" i="1" s="1"/>
  <c r="B855" i="1"/>
  <c r="A855" i="1" s="1"/>
  <c r="J854" i="1" a="1"/>
  <c r="J854" i="1" s="1"/>
  <c r="B854" i="1"/>
  <c r="A854" i="1" s="1"/>
  <c r="J853" i="1" a="1"/>
  <c r="J853" i="1" s="1"/>
  <c r="B853" i="1"/>
  <c r="A853" i="1" s="1"/>
  <c r="J852" i="1" a="1"/>
  <c r="J852" i="1" s="1"/>
  <c r="B852" i="1"/>
  <c r="A852" i="1" s="1"/>
  <c r="J851" i="1" a="1"/>
  <c r="J851" i="1" s="1"/>
  <c r="B851" i="1"/>
  <c r="A851" i="1" s="1"/>
  <c r="J850" i="1"/>
  <c r="J850" i="1" a="1"/>
  <c r="B850" i="1"/>
  <c r="A850" i="1" s="1"/>
  <c r="J849" i="1" a="1"/>
  <c r="J849" i="1" s="1"/>
  <c r="B849" i="1"/>
  <c r="A849" i="1" s="1"/>
  <c r="J848" i="1"/>
  <c r="J848" i="1" a="1"/>
  <c r="B848" i="1"/>
  <c r="A848" i="1" s="1"/>
  <c r="J847" i="1" a="1"/>
  <c r="J847" i="1" s="1"/>
  <c r="B847" i="1"/>
  <c r="A847" i="1" s="1"/>
  <c r="J846" i="1"/>
  <c r="J846" i="1" a="1"/>
  <c r="B846" i="1"/>
  <c r="A846" i="1" s="1"/>
  <c r="J845" i="1" a="1"/>
  <c r="J845" i="1" s="1"/>
  <c r="B845" i="1"/>
  <c r="A845" i="1" s="1"/>
  <c r="J844" i="1"/>
  <c r="J844" i="1" a="1"/>
  <c r="B844" i="1"/>
  <c r="A844" i="1" s="1"/>
  <c r="J843" i="1" a="1"/>
  <c r="J843" i="1" s="1"/>
  <c r="B843" i="1"/>
  <c r="A843" i="1" s="1"/>
  <c r="J842" i="1"/>
  <c r="J842" i="1" a="1"/>
  <c r="B842" i="1"/>
  <c r="A842" i="1" s="1"/>
  <c r="J841" i="1" a="1"/>
  <c r="J841" i="1" s="1"/>
  <c r="B841" i="1"/>
  <c r="A841" i="1" s="1"/>
  <c r="J840" i="1" a="1"/>
  <c r="J840" i="1" s="1"/>
  <c r="B840" i="1"/>
  <c r="A840" i="1" s="1"/>
  <c r="J839" i="1" a="1"/>
  <c r="J839" i="1" s="1"/>
  <c r="B839" i="1"/>
  <c r="A839" i="1" s="1"/>
  <c r="J838" i="1" a="1"/>
  <c r="J838" i="1" s="1"/>
  <c r="B838" i="1"/>
  <c r="A838" i="1" s="1"/>
  <c r="J837" i="1" a="1"/>
  <c r="J837" i="1" s="1"/>
  <c r="B837" i="1"/>
  <c r="A837" i="1" s="1"/>
  <c r="J836" i="1" a="1"/>
  <c r="J836" i="1" s="1"/>
  <c r="B836" i="1"/>
  <c r="A836" i="1" s="1"/>
  <c r="J835" i="1" a="1"/>
  <c r="J835" i="1" s="1"/>
  <c r="B835" i="1"/>
  <c r="A835" i="1" s="1"/>
  <c r="J834" i="1"/>
  <c r="J834" i="1" a="1"/>
  <c r="B834" i="1"/>
  <c r="A834" i="1" s="1"/>
  <c r="J833" i="1" a="1"/>
  <c r="J833" i="1" s="1"/>
  <c r="B833" i="1"/>
  <c r="A833" i="1" s="1"/>
  <c r="J832" i="1"/>
  <c r="J832" i="1" a="1"/>
  <c r="B832" i="1"/>
  <c r="A832" i="1" s="1"/>
  <c r="J831" i="1" a="1"/>
  <c r="J831" i="1" s="1"/>
  <c r="B831" i="1"/>
  <c r="A831" i="1" s="1"/>
  <c r="J830" i="1"/>
  <c r="J830" i="1" a="1"/>
  <c r="B830" i="1"/>
  <c r="A830" i="1" s="1"/>
  <c r="J829" i="1" a="1"/>
  <c r="J829" i="1" s="1"/>
  <c r="B829" i="1"/>
  <c r="A829" i="1" s="1"/>
  <c r="J828" i="1"/>
  <c r="J828" i="1" a="1"/>
  <c r="B828" i="1"/>
  <c r="A828" i="1" s="1"/>
  <c r="J827" i="1" a="1"/>
  <c r="J827" i="1" s="1"/>
  <c r="B827" i="1"/>
  <c r="A827" i="1" s="1"/>
  <c r="J826" i="1"/>
  <c r="J826" i="1" a="1"/>
  <c r="B826" i="1"/>
  <c r="A826" i="1" s="1"/>
  <c r="J825" i="1" a="1"/>
  <c r="J825" i="1" s="1"/>
  <c r="B825" i="1"/>
  <c r="A825" i="1" s="1"/>
  <c r="J824" i="1" a="1"/>
  <c r="J824" i="1" s="1"/>
  <c r="B824" i="1"/>
  <c r="A824" i="1" s="1"/>
  <c r="J823" i="1" a="1"/>
  <c r="J823" i="1" s="1"/>
  <c r="B823" i="1"/>
  <c r="A823" i="1" s="1"/>
  <c r="J822" i="1" a="1"/>
  <c r="J822" i="1" s="1"/>
  <c r="B822" i="1"/>
  <c r="A822" i="1" s="1"/>
  <c r="J821" i="1" a="1"/>
  <c r="J821" i="1" s="1"/>
  <c r="B821" i="1"/>
  <c r="A821" i="1" s="1"/>
  <c r="J820" i="1"/>
  <c r="J820" i="1" a="1"/>
  <c r="B820" i="1"/>
  <c r="A820" i="1"/>
  <c r="J819" i="1" a="1"/>
  <c r="J819" i="1" s="1"/>
  <c r="B819" i="1"/>
  <c r="A819" i="1" s="1"/>
  <c r="J818" i="1"/>
  <c r="J818" i="1" a="1"/>
  <c r="B818" i="1"/>
  <c r="A818" i="1" s="1"/>
  <c r="J817" i="1" a="1"/>
  <c r="J817" i="1" s="1"/>
  <c r="B817" i="1"/>
  <c r="A817" i="1" s="1"/>
  <c r="J816" i="1"/>
  <c r="J816" i="1" a="1"/>
  <c r="B816" i="1"/>
  <c r="A816" i="1" s="1"/>
  <c r="J815" i="1" a="1"/>
  <c r="J815" i="1" s="1"/>
  <c r="B815" i="1"/>
  <c r="A815" i="1" s="1"/>
  <c r="J814" i="1" a="1"/>
  <c r="J814" i="1" s="1"/>
  <c r="B814" i="1"/>
  <c r="A814" i="1" s="1"/>
  <c r="J813" i="1" a="1"/>
  <c r="J813" i="1" s="1"/>
  <c r="B813" i="1"/>
  <c r="A813" i="1"/>
  <c r="J812" i="1"/>
  <c r="J812" i="1" a="1"/>
  <c r="B812" i="1"/>
  <c r="A812" i="1" s="1"/>
  <c r="J811" i="1" a="1"/>
  <c r="J811" i="1" s="1"/>
  <c r="B811" i="1"/>
  <c r="A811" i="1"/>
  <c r="J810" i="1"/>
  <c r="J810" i="1" a="1"/>
  <c r="B810" i="1"/>
  <c r="A810" i="1" s="1"/>
  <c r="J809" i="1" a="1"/>
  <c r="J809" i="1" s="1"/>
  <c r="B809" i="1"/>
  <c r="A809" i="1"/>
  <c r="J808" i="1"/>
  <c r="J808" i="1" a="1"/>
  <c r="B808" i="1"/>
  <c r="A808" i="1" s="1"/>
  <c r="J807" i="1" a="1"/>
  <c r="J807" i="1" s="1"/>
  <c r="B807" i="1"/>
  <c r="A807" i="1"/>
  <c r="J806" i="1"/>
  <c r="J806" i="1" a="1"/>
  <c r="B806" i="1"/>
  <c r="A806" i="1" s="1"/>
  <c r="J805" i="1" a="1"/>
  <c r="J805" i="1" s="1"/>
  <c r="B805" i="1"/>
  <c r="A805" i="1"/>
  <c r="J804" i="1"/>
  <c r="J804" i="1" a="1"/>
  <c r="B804" i="1"/>
  <c r="A804" i="1" s="1"/>
  <c r="J803" i="1" a="1"/>
  <c r="J803" i="1" s="1"/>
  <c r="B803" i="1"/>
  <c r="A803" i="1"/>
  <c r="J802" i="1"/>
  <c r="J802" i="1" a="1"/>
  <c r="B802" i="1"/>
  <c r="A802" i="1" s="1"/>
  <c r="J801" i="1" a="1"/>
  <c r="J801" i="1" s="1"/>
  <c r="B801" i="1"/>
  <c r="A801" i="1"/>
  <c r="J800" i="1"/>
  <c r="J800" i="1" a="1"/>
  <c r="B800" i="1"/>
  <c r="A800" i="1" s="1"/>
  <c r="J799" i="1" a="1"/>
  <c r="J799" i="1" s="1"/>
  <c r="B799" i="1"/>
  <c r="A799" i="1"/>
  <c r="J798" i="1"/>
  <c r="J798" i="1" a="1"/>
  <c r="B798" i="1"/>
  <c r="A798" i="1" s="1"/>
  <c r="J797" i="1" a="1"/>
  <c r="J797" i="1" s="1"/>
  <c r="B797" i="1"/>
  <c r="A797" i="1"/>
  <c r="J796" i="1"/>
  <c r="J796" i="1" a="1"/>
  <c r="B796" i="1"/>
  <c r="A796" i="1" s="1"/>
  <c r="J795" i="1" a="1"/>
  <c r="J795" i="1" s="1"/>
  <c r="B795" i="1"/>
  <c r="A795" i="1"/>
  <c r="J794" i="1"/>
  <c r="J794" i="1" a="1"/>
  <c r="B794" i="1"/>
  <c r="A794" i="1" s="1"/>
  <c r="J793" i="1" a="1"/>
  <c r="J793" i="1" s="1"/>
  <c r="B793" i="1"/>
  <c r="A793" i="1"/>
  <c r="J792" i="1"/>
  <c r="J792" i="1" a="1"/>
  <c r="B792" i="1"/>
  <c r="A792" i="1" s="1"/>
  <c r="J791" i="1" a="1"/>
  <c r="J791" i="1" s="1"/>
  <c r="B791" i="1"/>
  <c r="A791" i="1"/>
  <c r="J790" i="1"/>
  <c r="J790" i="1" a="1"/>
  <c r="B790" i="1"/>
  <c r="A790" i="1" s="1"/>
  <c r="J789" i="1" a="1"/>
  <c r="J789" i="1" s="1"/>
  <c r="B789" i="1"/>
  <c r="A789" i="1"/>
  <c r="J788" i="1"/>
  <c r="J788" i="1" a="1"/>
  <c r="B788" i="1"/>
  <c r="A788" i="1" s="1"/>
  <c r="J787" i="1" a="1"/>
  <c r="J787" i="1" s="1"/>
  <c r="B787" i="1"/>
  <c r="A787" i="1"/>
  <c r="J786" i="1"/>
  <c r="J786" i="1" a="1"/>
  <c r="B786" i="1"/>
  <c r="A786" i="1" s="1"/>
  <c r="J785" i="1" a="1"/>
  <c r="J785" i="1" s="1"/>
  <c r="B785" i="1"/>
  <c r="A785" i="1"/>
  <c r="J784" i="1"/>
  <c r="J784" i="1" a="1"/>
  <c r="B784" i="1"/>
  <c r="A784" i="1" s="1"/>
  <c r="J783" i="1" a="1"/>
  <c r="J783" i="1" s="1"/>
  <c r="B783" i="1"/>
  <c r="A783" i="1"/>
  <c r="J782" i="1"/>
  <c r="J782" i="1" a="1"/>
  <c r="B782" i="1"/>
  <c r="A782" i="1" s="1"/>
  <c r="J781" i="1" a="1"/>
  <c r="J781" i="1" s="1"/>
  <c r="B781" i="1"/>
  <c r="A781" i="1"/>
  <c r="J780" i="1"/>
  <c r="J780" i="1" a="1"/>
  <c r="B780" i="1"/>
  <c r="A780" i="1" s="1"/>
  <c r="J779" i="1" a="1"/>
  <c r="J779" i="1" s="1"/>
  <c r="B779" i="1"/>
  <c r="A779" i="1"/>
  <c r="J778" i="1"/>
  <c r="J778" i="1" a="1"/>
  <c r="B778" i="1"/>
  <c r="A778" i="1" s="1"/>
  <c r="J777" i="1" a="1"/>
  <c r="J777" i="1" s="1"/>
  <c r="B777" i="1"/>
  <c r="A777" i="1" s="1"/>
  <c r="J776" i="1"/>
  <c r="J776" i="1" a="1"/>
  <c r="B776" i="1"/>
  <c r="A776" i="1" s="1"/>
  <c r="J775" i="1" a="1"/>
  <c r="J775" i="1" s="1"/>
  <c r="B775" i="1"/>
  <c r="A775" i="1"/>
  <c r="J774" i="1"/>
  <c r="J774" i="1" a="1"/>
  <c r="B774" i="1"/>
  <c r="A774" i="1" s="1"/>
  <c r="J773" i="1" a="1"/>
  <c r="J773" i="1" s="1"/>
  <c r="B773" i="1"/>
  <c r="A773" i="1" s="1"/>
  <c r="I772" i="1"/>
  <c r="J772" i="1" s="1" a="1"/>
  <c r="J772" i="1" s="1"/>
  <c r="B772" i="1"/>
  <c r="A772" i="1" s="1"/>
  <c r="J771" i="1"/>
  <c r="J771" i="1" a="1"/>
  <c r="B771" i="1"/>
  <c r="A771" i="1" s="1"/>
  <c r="J770" i="1" a="1"/>
  <c r="J770" i="1" s="1"/>
  <c r="B770" i="1"/>
  <c r="A770" i="1" s="1"/>
  <c r="J769" i="1"/>
  <c r="J769" i="1" a="1"/>
  <c r="B769" i="1"/>
  <c r="A769" i="1" s="1"/>
  <c r="J768" i="1" a="1"/>
  <c r="J768" i="1" s="1"/>
  <c r="B768" i="1"/>
  <c r="A768" i="1" s="1"/>
  <c r="J767" i="1"/>
  <c r="J767" i="1" a="1"/>
  <c r="B767" i="1"/>
  <c r="A767" i="1" s="1"/>
  <c r="J766" i="1" a="1"/>
  <c r="J766" i="1" s="1"/>
  <c r="I766" i="1"/>
  <c r="B766" i="1"/>
  <c r="A766" i="1"/>
  <c r="J765" i="1" a="1"/>
  <c r="J765" i="1" s="1"/>
  <c r="I765" i="1"/>
  <c r="B765" i="1"/>
  <c r="A765" i="1"/>
  <c r="J764" i="1"/>
  <c r="J764" i="1" a="1"/>
  <c r="B764" i="1"/>
  <c r="A764" i="1" s="1"/>
  <c r="J763" i="1"/>
  <c r="J763" i="1" a="1"/>
  <c r="B763" i="1"/>
  <c r="A763" i="1"/>
  <c r="I762" i="1"/>
  <c r="J762" i="1" s="1" a="1"/>
  <c r="J762" i="1" s="1"/>
  <c r="B762" i="1"/>
  <c r="A762" i="1" s="1"/>
  <c r="J761" i="1"/>
  <c r="J761" i="1" a="1"/>
  <c r="B761" i="1"/>
  <c r="A761" i="1" s="1"/>
  <c r="J760" i="1" a="1"/>
  <c r="J760" i="1" s="1"/>
  <c r="B760" i="1"/>
  <c r="A760" i="1" s="1"/>
  <c r="J759" i="1"/>
  <c r="J759" i="1" a="1"/>
  <c r="B759" i="1"/>
  <c r="A759" i="1" s="1"/>
  <c r="J758" i="1" a="1"/>
  <c r="J758" i="1" s="1"/>
  <c r="B758" i="1"/>
  <c r="A758" i="1" s="1"/>
  <c r="J757" i="1"/>
  <c r="J757" i="1" a="1"/>
  <c r="B757" i="1"/>
  <c r="A757" i="1" s="1"/>
  <c r="J756" i="1" a="1"/>
  <c r="J756" i="1" s="1"/>
  <c r="B756" i="1"/>
  <c r="A756" i="1"/>
  <c r="J755" i="1"/>
  <c r="J755" i="1" a="1"/>
  <c r="B755" i="1"/>
  <c r="A755" i="1" s="1"/>
  <c r="J754" i="1" a="1"/>
  <c r="J754" i="1" s="1"/>
  <c r="B754" i="1"/>
  <c r="A754" i="1" s="1"/>
  <c r="J753" i="1"/>
  <c r="J753" i="1" a="1"/>
  <c r="B753" i="1"/>
  <c r="A753" i="1" s="1"/>
  <c r="I752" i="1"/>
  <c r="J752" i="1" s="1" a="1"/>
  <c r="J752" i="1" s="1"/>
  <c r="B752" i="1"/>
  <c r="A752" i="1" s="1"/>
  <c r="J751" i="1" a="1"/>
  <c r="J751" i="1" s="1"/>
  <c r="B751" i="1"/>
  <c r="A751" i="1" s="1"/>
  <c r="J750" i="1" a="1"/>
  <c r="J750" i="1" s="1"/>
  <c r="B750" i="1"/>
  <c r="A750" i="1" s="1"/>
  <c r="J749" i="1" a="1"/>
  <c r="J749" i="1" s="1"/>
  <c r="I749" i="1"/>
  <c r="B749" i="1"/>
  <c r="A749" i="1"/>
  <c r="J748" i="1"/>
  <c r="J748" i="1" a="1"/>
  <c r="B748" i="1"/>
  <c r="A748" i="1" s="1"/>
  <c r="J747" i="1"/>
  <c r="J747" i="1" a="1"/>
  <c r="B747" i="1"/>
  <c r="A747" i="1"/>
  <c r="J746" i="1"/>
  <c r="J746" i="1" a="1"/>
  <c r="B746" i="1"/>
  <c r="A746" i="1" s="1"/>
  <c r="J745" i="1"/>
  <c r="J745" i="1" a="1"/>
  <c r="I745" i="1"/>
  <c r="B745" i="1"/>
  <c r="A745" i="1" s="1"/>
  <c r="J744" i="1"/>
  <c r="J744" i="1" a="1"/>
  <c r="B744" i="1"/>
  <c r="A744" i="1"/>
  <c r="J743" i="1"/>
  <c r="J743" i="1" a="1"/>
  <c r="B743" i="1"/>
  <c r="A743" i="1" s="1"/>
  <c r="J742" i="1"/>
  <c r="J742" i="1" a="1"/>
  <c r="I742" i="1"/>
  <c r="B742" i="1"/>
  <c r="A742" i="1" s="1"/>
  <c r="J741" i="1" a="1"/>
  <c r="J741" i="1" s="1"/>
  <c r="I741" i="1"/>
  <c r="B741" i="1"/>
  <c r="A741" i="1" s="1"/>
  <c r="J740" i="1" a="1"/>
  <c r="J740" i="1" s="1"/>
  <c r="B740" i="1"/>
  <c r="A740" i="1" s="1"/>
  <c r="J739" i="1"/>
  <c r="J739" i="1" a="1"/>
  <c r="B739" i="1"/>
  <c r="A739" i="1" s="1"/>
  <c r="J738" i="1" a="1"/>
  <c r="J738" i="1" s="1"/>
  <c r="I738" i="1"/>
  <c r="B738" i="1"/>
  <c r="A738" i="1"/>
  <c r="J737" i="1"/>
  <c r="J737" i="1" a="1"/>
  <c r="B737" i="1"/>
  <c r="A737" i="1" s="1"/>
  <c r="J736" i="1"/>
  <c r="J736" i="1" a="1"/>
  <c r="B736" i="1"/>
  <c r="A736" i="1"/>
  <c r="J735" i="1" a="1"/>
  <c r="J735" i="1" s="1"/>
  <c r="B735" i="1"/>
  <c r="A735" i="1" s="1"/>
  <c r="J734" i="1"/>
  <c r="J734" i="1" a="1"/>
  <c r="B734" i="1"/>
  <c r="A734" i="1"/>
  <c r="J733" i="1"/>
  <c r="J733" i="1" a="1"/>
  <c r="B733" i="1"/>
  <c r="A733" i="1" s="1"/>
  <c r="J732" i="1"/>
  <c r="J732" i="1" a="1"/>
  <c r="I732" i="1"/>
  <c r="B732" i="1"/>
  <c r="A732" i="1" s="1"/>
  <c r="J731" i="1"/>
  <c r="J731" i="1" a="1"/>
  <c r="B731" i="1"/>
  <c r="A731" i="1"/>
  <c r="J730" i="1"/>
  <c r="J730" i="1" a="1"/>
  <c r="B730" i="1"/>
  <c r="A730" i="1" s="1"/>
  <c r="J729" i="1"/>
  <c r="J729" i="1" a="1"/>
  <c r="B729" i="1"/>
  <c r="A729" i="1"/>
  <c r="J728" i="1"/>
  <c r="J728" i="1" a="1"/>
  <c r="B728" i="1"/>
  <c r="A728" i="1" s="1"/>
  <c r="J727" i="1"/>
  <c r="J727" i="1" a="1"/>
  <c r="B727" i="1"/>
  <c r="A727" i="1"/>
  <c r="J726" i="1"/>
  <c r="J726" i="1" a="1"/>
  <c r="B726" i="1"/>
  <c r="A726" i="1" s="1"/>
  <c r="J725" i="1"/>
  <c r="J725" i="1" a="1"/>
  <c r="B725" i="1"/>
  <c r="A725" i="1"/>
  <c r="J724" i="1"/>
  <c r="J724" i="1" a="1"/>
  <c r="B724" i="1"/>
  <c r="A724" i="1" s="1"/>
  <c r="J723" i="1"/>
  <c r="J723" i="1" a="1"/>
  <c r="I723" i="1"/>
  <c r="B723" i="1"/>
  <c r="A723" i="1" s="1"/>
  <c r="J722" i="1" a="1"/>
  <c r="J722" i="1" s="1"/>
  <c r="B722" i="1"/>
  <c r="A722" i="1" s="1"/>
  <c r="J721" i="1"/>
  <c r="J721" i="1" a="1"/>
  <c r="B721" i="1"/>
  <c r="A721" i="1" s="1"/>
  <c r="J720" i="1" a="1"/>
  <c r="J720" i="1" s="1"/>
  <c r="B720" i="1"/>
  <c r="A720" i="1" s="1"/>
  <c r="J719" i="1"/>
  <c r="J719" i="1" a="1"/>
  <c r="B719" i="1"/>
  <c r="A719" i="1" s="1"/>
  <c r="J718" i="1" a="1"/>
  <c r="J718" i="1" s="1"/>
  <c r="B718" i="1"/>
  <c r="A718" i="1"/>
  <c r="J717" i="1"/>
  <c r="J717" i="1" a="1"/>
  <c r="B717" i="1"/>
  <c r="A717" i="1" s="1"/>
  <c r="J716" i="1" a="1"/>
  <c r="J716" i="1" s="1"/>
  <c r="I716" i="1"/>
  <c r="B716" i="1"/>
  <c r="A716" i="1" s="1"/>
  <c r="J715" i="1" a="1"/>
  <c r="J715" i="1" s="1"/>
  <c r="B715" i="1"/>
  <c r="A715" i="1" s="1"/>
  <c r="J714" i="1" a="1"/>
  <c r="J714" i="1" s="1"/>
  <c r="B714" i="1"/>
  <c r="A714" i="1" s="1"/>
  <c r="J713" i="1" a="1"/>
  <c r="J713" i="1" s="1"/>
  <c r="B713" i="1"/>
  <c r="A713" i="1" s="1"/>
  <c r="J712" i="1" a="1"/>
  <c r="J712" i="1" s="1"/>
  <c r="B712" i="1"/>
  <c r="A712" i="1"/>
  <c r="J711" i="1" a="1"/>
  <c r="J711" i="1" s="1"/>
  <c r="B711" i="1"/>
  <c r="A711" i="1" s="1"/>
  <c r="J710" i="1"/>
  <c r="J710" i="1" a="1"/>
  <c r="B710" i="1"/>
  <c r="A710" i="1"/>
  <c r="J709" i="1" a="1"/>
  <c r="J709" i="1" s="1"/>
  <c r="B709" i="1"/>
  <c r="A709" i="1" s="1"/>
  <c r="J708" i="1"/>
  <c r="J708" i="1" a="1"/>
  <c r="B708" i="1"/>
  <c r="A708" i="1" s="1"/>
  <c r="J707" i="1" a="1"/>
  <c r="J707" i="1" s="1"/>
  <c r="B707" i="1"/>
  <c r="A707" i="1" s="1"/>
  <c r="J706" i="1" a="1"/>
  <c r="J706" i="1" s="1"/>
  <c r="B706" i="1"/>
  <c r="A706" i="1" s="1"/>
  <c r="J705" i="1" a="1"/>
  <c r="J705" i="1" s="1"/>
  <c r="B705" i="1"/>
  <c r="A705" i="1" s="1"/>
  <c r="J704" i="1" a="1"/>
  <c r="J704" i="1" s="1"/>
  <c r="B704" i="1"/>
  <c r="A704" i="1"/>
  <c r="J703" i="1" a="1"/>
  <c r="J703" i="1" s="1"/>
  <c r="B703" i="1"/>
  <c r="A703" i="1" s="1"/>
  <c r="J702" i="1"/>
  <c r="J702" i="1" a="1"/>
  <c r="B702" i="1"/>
  <c r="A702" i="1"/>
  <c r="J701" i="1" a="1"/>
  <c r="J701" i="1" s="1"/>
  <c r="I701" i="1"/>
  <c r="B701" i="1"/>
  <c r="A701" i="1"/>
  <c r="J700" i="1"/>
  <c r="J700" i="1" a="1"/>
  <c r="B700" i="1"/>
  <c r="A700" i="1" s="1"/>
  <c r="J699" i="1"/>
  <c r="J699" i="1" a="1"/>
  <c r="B699" i="1"/>
  <c r="A699" i="1"/>
  <c r="J698" i="1" a="1"/>
  <c r="J698" i="1" s="1"/>
  <c r="B698" i="1"/>
  <c r="A698" i="1" s="1"/>
  <c r="J697" i="1" a="1"/>
  <c r="J697" i="1" s="1"/>
  <c r="B697" i="1"/>
  <c r="A697" i="1"/>
  <c r="J696" i="1"/>
  <c r="J696" i="1" a="1"/>
  <c r="B696" i="1"/>
  <c r="A696" i="1" s="1"/>
  <c r="J695" i="1" a="1"/>
  <c r="J695" i="1" s="1"/>
  <c r="B695" i="1"/>
  <c r="A695" i="1"/>
  <c r="J694" i="1"/>
  <c r="J694" i="1" a="1"/>
  <c r="B694" i="1"/>
  <c r="A694" i="1" s="1"/>
  <c r="J693" i="1"/>
  <c r="J693" i="1" a="1"/>
  <c r="I693" i="1"/>
  <c r="B693" i="1"/>
  <c r="A693" i="1" s="1"/>
  <c r="J692" i="1"/>
  <c r="J692" i="1" a="1"/>
  <c r="B692" i="1"/>
  <c r="A692" i="1"/>
  <c r="J691" i="1"/>
  <c r="J691" i="1" a="1"/>
  <c r="B691" i="1"/>
  <c r="A691" i="1" s="1"/>
  <c r="J690" i="1" a="1"/>
  <c r="J690" i="1" s="1"/>
  <c r="I690" i="1"/>
  <c r="B690" i="1"/>
  <c r="A690" i="1" s="1"/>
  <c r="J689" i="1" a="1"/>
  <c r="J689" i="1" s="1"/>
  <c r="B689" i="1"/>
  <c r="A689" i="1" s="1"/>
  <c r="J688" i="1"/>
  <c r="J688" i="1" a="1"/>
  <c r="B688" i="1"/>
  <c r="A688" i="1"/>
  <c r="J687" i="1" a="1"/>
  <c r="J687" i="1" s="1"/>
  <c r="B687" i="1"/>
  <c r="A687" i="1"/>
  <c r="J686" i="1"/>
  <c r="J686" i="1" a="1"/>
  <c r="B686" i="1"/>
  <c r="A686" i="1" s="1"/>
  <c r="J685" i="1" a="1"/>
  <c r="J685" i="1" s="1"/>
  <c r="B685" i="1"/>
  <c r="A685" i="1"/>
  <c r="J684" i="1"/>
  <c r="J684" i="1" a="1"/>
  <c r="B684" i="1"/>
  <c r="A684" i="1"/>
  <c r="J683" i="1" a="1"/>
  <c r="J683" i="1" s="1"/>
  <c r="B683" i="1"/>
  <c r="A683" i="1" s="1"/>
  <c r="J682" i="1"/>
  <c r="J682" i="1" a="1"/>
  <c r="B682" i="1"/>
  <c r="A682" i="1"/>
  <c r="J681" i="1" a="1"/>
  <c r="J681" i="1" s="1"/>
  <c r="B681" i="1"/>
  <c r="A681" i="1"/>
  <c r="J680" i="1"/>
  <c r="J680" i="1" a="1"/>
  <c r="B680" i="1"/>
  <c r="A680" i="1" s="1"/>
  <c r="J679" i="1" a="1"/>
  <c r="J679" i="1" s="1"/>
  <c r="B679" i="1"/>
  <c r="A679" i="1" s="1"/>
  <c r="J678" i="1"/>
  <c r="J678" i="1" a="1"/>
  <c r="B678" i="1"/>
  <c r="A678" i="1"/>
  <c r="J677" i="1" a="1"/>
  <c r="J677" i="1" s="1"/>
  <c r="B677" i="1"/>
  <c r="A677" i="1" s="1"/>
  <c r="J676" i="1"/>
  <c r="J676" i="1" a="1"/>
  <c r="B676" i="1"/>
  <c r="A676" i="1"/>
  <c r="J675" i="1" a="1"/>
  <c r="J675" i="1" s="1"/>
  <c r="B675" i="1"/>
  <c r="A675" i="1"/>
  <c r="J674" i="1"/>
  <c r="J674" i="1" a="1"/>
  <c r="B674" i="1"/>
  <c r="A674" i="1" s="1"/>
  <c r="J673" i="1" a="1"/>
  <c r="J673" i="1" s="1"/>
  <c r="B673" i="1"/>
  <c r="A673" i="1" s="1"/>
  <c r="J672" i="1"/>
  <c r="J672" i="1" a="1"/>
  <c r="B672" i="1"/>
  <c r="A672" i="1"/>
  <c r="J671" i="1" a="1"/>
  <c r="J671" i="1" s="1"/>
  <c r="B671" i="1"/>
  <c r="A671" i="1"/>
  <c r="J670" i="1"/>
  <c r="J670" i="1" a="1"/>
  <c r="B670" i="1"/>
  <c r="A670" i="1" s="1"/>
  <c r="J669" i="1" a="1"/>
  <c r="J669" i="1" s="1"/>
  <c r="B669" i="1"/>
  <c r="A669" i="1"/>
  <c r="J668" i="1"/>
  <c r="I668" i="1"/>
  <c r="J668" i="1" s="1" a="1"/>
  <c r="B668" i="1"/>
  <c r="A668" i="1" s="1"/>
  <c r="J667" i="1"/>
  <c r="J667" i="1" a="1"/>
  <c r="B667" i="1"/>
  <c r="A667" i="1" s="1"/>
  <c r="J666" i="1" a="1"/>
  <c r="J666" i="1" s="1"/>
  <c r="B666" i="1"/>
  <c r="A666" i="1" s="1"/>
  <c r="J665" i="1" a="1"/>
  <c r="J665" i="1" s="1"/>
  <c r="B665" i="1"/>
  <c r="A665" i="1" s="1"/>
  <c r="J664" i="1" a="1"/>
  <c r="J664" i="1" s="1"/>
  <c r="B664" i="1"/>
  <c r="A664" i="1" s="1"/>
  <c r="J663" i="1" a="1"/>
  <c r="J663" i="1" s="1"/>
  <c r="B663" i="1"/>
  <c r="A663" i="1"/>
  <c r="J662" i="1"/>
  <c r="J662" i="1" a="1"/>
  <c r="B662" i="1"/>
  <c r="A662" i="1" s="1"/>
  <c r="J661" i="1" a="1"/>
  <c r="J661" i="1" s="1"/>
  <c r="B661" i="1"/>
  <c r="A661" i="1" s="1"/>
  <c r="J660" i="1"/>
  <c r="J660" i="1" a="1"/>
  <c r="B660" i="1"/>
  <c r="A660" i="1" s="1"/>
  <c r="J659" i="1"/>
  <c r="J659" i="1" a="1"/>
  <c r="B659" i="1"/>
  <c r="A659" i="1"/>
  <c r="J658" i="1" a="1"/>
  <c r="J658" i="1" s="1"/>
  <c r="B658" i="1"/>
  <c r="A658" i="1" s="1"/>
  <c r="J657" i="1" a="1"/>
  <c r="J657" i="1" s="1"/>
  <c r="B657" i="1"/>
  <c r="A657" i="1"/>
  <c r="J656" i="1"/>
  <c r="J656" i="1" a="1"/>
  <c r="B656" i="1"/>
  <c r="A656" i="1" s="1"/>
  <c r="I655" i="1"/>
  <c r="J655" i="1" s="1" a="1"/>
  <c r="J655" i="1" s="1"/>
  <c r="B655" i="1"/>
  <c r="A655" i="1"/>
  <c r="J654" i="1"/>
  <c r="J654" i="1" a="1"/>
  <c r="B654" i="1"/>
  <c r="A654" i="1"/>
  <c r="J653" i="1" a="1"/>
  <c r="J653" i="1" s="1"/>
  <c r="B653" i="1"/>
  <c r="A653" i="1"/>
  <c r="J652" i="1"/>
  <c r="J652" i="1" a="1"/>
  <c r="B652" i="1"/>
  <c r="A652" i="1"/>
  <c r="J651" i="1" a="1"/>
  <c r="J651" i="1" s="1"/>
  <c r="B651" i="1"/>
  <c r="A651" i="1"/>
  <c r="J650" i="1"/>
  <c r="J650" i="1" a="1"/>
  <c r="B650" i="1"/>
  <c r="A650" i="1"/>
  <c r="J649" i="1" a="1"/>
  <c r="J649" i="1" s="1"/>
  <c r="B649" i="1"/>
  <c r="A649" i="1"/>
  <c r="J648" i="1"/>
  <c r="J648" i="1" a="1"/>
  <c r="B648" i="1"/>
  <c r="A648" i="1"/>
  <c r="J647" i="1" a="1"/>
  <c r="J647" i="1" s="1"/>
  <c r="B647" i="1"/>
  <c r="A647" i="1"/>
  <c r="J646" i="1"/>
  <c r="J646" i="1" a="1"/>
  <c r="B646" i="1"/>
  <c r="A646" i="1"/>
  <c r="J645" i="1" a="1"/>
  <c r="J645" i="1" s="1"/>
  <c r="B645" i="1"/>
  <c r="A645" i="1"/>
  <c r="J644" i="1"/>
  <c r="J644" i="1" a="1"/>
  <c r="B644" i="1"/>
  <c r="A644" i="1"/>
  <c r="J643" i="1" a="1"/>
  <c r="J643" i="1" s="1"/>
  <c r="B643" i="1"/>
  <c r="A643" i="1"/>
  <c r="J642" i="1"/>
  <c r="J642" i="1" a="1"/>
  <c r="B642" i="1"/>
  <c r="A642" i="1"/>
  <c r="J641" i="1" a="1"/>
  <c r="J641" i="1" s="1"/>
  <c r="I641" i="1"/>
  <c r="B641" i="1"/>
  <c r="A641" i="1" s="1"/>
  <c r="J640" i="1"/>
  <c r="J640" i="1" a="1"/>
  <c r="B640" i="1"/>
  <c r="A640" i="1" s="1"/>
  <c r="J639" i="1"/>
  <c r="J639" i="1" a="1"/>
  <c r="B639" i="1"/>
  <c r="A639" i="1" s="1"/>
  <c r="J638" i="1"/>
  <c r="J638" i="1" a="1"/>
  <c r="B638" i="1"/>
  <c r="A638" i="1" s="1"/>
  <c r="J637" i="1"/>
  <c r="J637" i="1" a="1"/>
  <c r="B637" i="1"/>
  <c r="A637" i="1" s="1"/>
  <c r="J636" i="1"/>
  <c r="J636" i="1" a="1"/>
  <c r="B636" i="1"/>
  <c r="A636" i="1" s="1"/>
  <c r="J635" i="1"/>
  <c r="J635" i="1" a="1"/>
  <c r="B635" i="1"/>
  <c r="A635" i="1" s="1"/>
  <c r="J634" i="1"/>
  <c r="J634" i="1" a="1"/>
  <c r="B634" i="1"/>
  <c r="A634" i="1" s="1"/>
  <c r="J633" i="1"/>
  <c r="I633" i="1"/>
  <c r="J633" i="1" s="1" a="1"/>
  <c r="B633" i="1"/>
  <c r="A633" i="1" s="1"/>
  <c r="J632" i="1" a="1"/>
  <c r="J632" i="1" s="1"/>
  <c r="B632" i="1"/>
  <c r="A632" i="1" s="1"/>
  <c r="J631" i="1"/>
  <c r="J631" i="1" a="1"/>
  <c r="B631" i="1"/>
  <c r="A631" i="1" s="1"/>
  <c r="J630" i="1" a="1"/>
  <c r="J630" i="1" s="1"/>
  <c r="B630" i="1"/>
  <c r="A630" i="1" s="1"/>
  <c r="J629" i="1" a="1"/>
  <c r="J629" i="1" s="1"/>
  <c r="B629" i="1"/>
  <c r="A629" i="1"/>
  <c r="J628" i="1" a="1"/>
  <c r="J628" i="1" s="1"/>
  <c r="B628" i="1"/>
  <c r="A628" i="1"/>
  <c r="J627" i="1"/>
  <c r="J627" i="1" a="1"/>
  <c r="B627" i="1"/>
  <c r="A627" i="1" s="1"/>
  <c r="J626" i="1" a="1"/>
  <c r="J626" i="1" s="1"/>
  <c r="B626" i="1"/>
  <c r="A626" i="1" s="1"/>
  <c r="J625" i="1" a="1"/>
  <c r="J625" i="1" s="1"/>
  <c r="B625" i="1"/>
  <c r="A625" i="1" s="1"/>
  <c r="J624" i="1" a="1"/>
  <c r="J624" i="1" s="1"/>
  <c r="B624" i="1"/>
  <c r="A624" i="1" s="1"/>
  <c r="J623" i="1" a="1"/>
  <c r="J623" i="1" s="1"/>
  <c r="B623" i="1"/>
  <c r="A623" i="1"/>
  <c r="J622" i="1" a="1"/>
  <c r="J622" i="1" s="1"/>
  <c r="B622" i="1"/>
  <c r="A622" i="1"/>
  <c r="J621" i="1"/>
  <c r="J621" i="1" a="1"/>
  <c r="B621" i="1"/>
  <c r="A621" i="1" s="1"/>
  <c r="J620" i="1" a="1"/>
  <c r="J620" i="1" s="1"/>
  <c r="B620" i="1"/>
  <c r="A620" i="1" s="1"/>
  <c r="J619" i="1"/>
  <c r="J619" i="1" a="1"/>
  <c r="B619" i="1"/>
  <c r="A619" i="1"/>
  <c r="J618" i="1" a="1"/>
  <c r="J618" i="1" s="1"/>
  <c r="B618" i="1"/>
  <c r="A618" i="1"/>
  <c r="J617" i="1" a="1"/>
  <c r="J617" i="1" s="1"/>
  <c r="B617" i="1"/>
  <c r="A617" i="1" s="1"/>
  <c r="J616" i="1" a="1"/>
  <c r="J616" i="1" s="1"/>
  <c r="B616" i="1"/>
  <c r="A616" i="1"/>
  <c r="J615" i="1"/>
  <c r="J615" i="1" a="1"/>
  <c r="B615" i="1"/>
  <c r="A615" i="1" s="1"/>
  <c r="J614" i="1" a="1"/>
  <c r="J614" i="1" s="1"/>
  <c r="B614" i="1"/>
  <c r="A614" i="1" s="1"/>
  <c r="J613" i="1" a="1"/>
  <c r="J613" i="1" s="1"/>
  <c r="I613" i="1"/>
  <c r="B613" i="1"/>
  <c r="A613" i="1" s="1"/>
  <c r="I612" i="1"/>
  <c r="J612" i="1" s="1" a="1"/>
  <c r="J612" i="1" s="1"/>
  <c r="B612" i="1"/>
  <c r="A612" i="1" s="1"/>
  <c r="J611" i="1"/>
  <c r="J611" i="1" a="1"/>
  <c r="I611" i="1"/>
  <c r="B611" i="1"/>
  <c r="A611" i="1" s="1"/>
  <c r="I610" i="1"/>
  <c r="J610" i="1" s="1" a="1"/>
  <c r="J610" i="1" s="1"/>
  <c r="B610" i="1"/>
  <c r="A610" i="1" s="1"/>
  <c r="J609" i="1" a="1"/>
  <c r="J609" i="1" s="1"/>
  <c r="B609" i="1"/>
  <c r="A609" i="1" s="1"/>
  <c r="J608" i="1" a="1"/>
  <c r="J608" i="1" s="1"/>
  <c r="B608" i="1"/>
  <c r="A608" i="1"/>
  <c r="J607" i="1" a="1"/>
  <c r="J607" i="1" s="1"/>
  <c r="B607" i="1"/>
  <c r="A607" i="1" s="1"/>
  <c r="J606" i="1" a="1"/>
  <c r="J606" i="1" s="1"/>
  <c r="B606" i="1"/>
  <c r="A606" i="1"/>
  <c r="J605" i="1" a="1"/>
  <c r="J605" i="1" s="1"/>
  <c r="B605" i="1"/>
  <c r="A605" i="1"/>
  <c r="J604" i="1"/>
  <c r="J604" i="1" a="1"/>
  <c r="B604" i="1"/>
  <c r="A604" i="1" s="1"/>
  <c r="J603" i="1" a="1"/>
  <c r="J603" i="1" s="1"/>
  <c r="B603" i="1"/>
  <c r="A603" i="1" s="1"/>
  <c r="J602" i="1"/>
  <c r="J602" i="1" a="1"/>
  <c r="B602" i="1"/>
  <c r="A602" i="1"/>
  <c r="J601" i="1"/>
  <c r="J601" i="1" a="1"/>
  <c r="B601" i="1"/>
  <c r="A601" i="1" s="1"/>
  <c r="J600" i="1"/>
  <c r="J600" i="1" a="1"/>
  <c r="B600" i="1"/>
  <c r="A600" i="1"/>
  <c r="J599" i="1"/>
  <c r="J599" i="1" a="1"/>
  <c r="B599" i="1"/>
  <c r="A599" i="1" s="1"/>
  <c r="J598" i="1" a="1"/>
  <c r="J598" i="1" s="1"/>
  <c r="B598" i="1"/>
  <c r="A598" i="1"/>
  <c r="J597" i="1"/>
  <c r="J597" i="1" a="1"/>
  <c r="B597" i="1"/>
  <c r="A597" i="1" s="1"/>
  <c r="J596" i="1" a="1"/>
  <c r="J596" i="1" s="1"/>
  <c r="B596" i="1"/>
  <c r="A596" i="1"/>
  <c r="J595" i="1" a="1"/>
  <c r="J595" i="1" s="1"/>
  <c r="B595" i="1"/>
  <c r="A595" i="1" s="1"/>
  <c r="J594" i="1"/>
  <c r="J594" i="1" a="1"/>
  <c r="B594" i="1"/>
  <c r="A594" i="1"/>
  <c r="J593" i="1" a="1"/>
  <c r="J593" i="1" s="1"/>
  <c r="B593" i="1"/>
  <c r="A593" i="1" s="1"/>
  <c r="J592" i="1"/>
  <c r="J592" i="1" a="1"/>
  <c r="B592" i="1"/>
  <c r="A592" i="1"/>
  <c r="J591" i="1"/>
  <c r="J591" i="1" a="1"/>
  <c r="B591" i="1"/>
  <c r="A591" i="1" s="1"/>
  <c r="J590" i="1"/>
  <c r="J590" i="1" a="1"/>
  <c r="B590" i="1"/>
  <c r="A590" i="1"/>
  <c r="J589" i="1" a="1"/>
  <c r="J589" i="1" s="1"/>
  <c r="B589" i="1"/>
  <c r="A589" i="1" s="1"/>
  <c r="J588" i="1" a="1"/>
  <c r="J588" i="1" s="1"/>
  <c r="B588" i="1"/>
  <c r="A588" i="1"/>
  <c r="J587" i="1" a="1"/>
  <c r="J587" i="1" s="1"/>
  <c r="B587" i="1"/>
  <c r="A587" i="1" s="1"/>
  <c r="J586" i="1" a="1"/>
  <c r="J586" i="1" s="1"/>
  <c r="B586" i="1"/>
  <c r="A586" i="1"/>
  <c r="J585" i="1"/>
  <c r="J585" i="1" a="1"/>
  <c r="B585" i="1"/>
  <c r="A585" i="1" s="1"/>
  <c r="J584" i="1"/>
  <c r="J584" i="1" a="1"/>
  <c r="B584" i="1"/>
  <c r="A584" i="1"/>
  <c r="J583" i="1"/>
  <c r="J583" i="1" a="1"/>
  <c r="B583" i="1"/>
  <c r="A583" i="1" s="1"/>
  <c r="J582" i="1" a="1"/>
  <c r="J582" i="1" s="1"/>
  <c r="B582" i="1"/>
  <c r="A582" i="1"/>
  <c r="J581" i="1"/>
  <c r="J581" i="1" a="1"/>
  <c r="B581" i="1"/>
  <c r="A581" i="1" s="1"/>
  <c r="J580" i="1" a="1"/>
  <c r="J580" i="1" s="1"/>
  <c r="B580" i="1"/>
  <c r="A580" i="1"/>
  <c r="J579" i="1" a="1"/>
  <c r="J579" i="1" s="1"/>
  <c r="B579" i="1"/>
  <c r="A579" i="1" s="1"/>
  <c r="J578" i="1"/>
  <c r="J578" i="1" a="1"/>
  <c r="B578" i="1"/>
  <c r="A578" i="1"/>
  <c r="J577" i="1" a="1"/>
  <c r="J577" i="1" s="1"/>
  <c r="B577" i="1"/>
  <c r="A577" i="1" s="1"/>
  <c r="J576" i="1"/>
  <c r="J576" i="1" a="1"/>
  <c r="B576" i="1"/>
  <c r="A576" i="1"/>
  <c r="J575" i="1"/>
  <c r="J575" i="1" a="1"/>
  <c r="B575" i="1"/>
  <c r="A575" i="1" s="1"/>
  <c r="J574" i="1"/>
  <c r="J574" i="1" a="1"/>
  <c r="B574" i="1"/>
  <c r="A574" i="1"/>
  <c r="J573" i="1" a="1"/>
  <c r="J573" i="1" s="1"/>
  <c r="B573" i="1"/>
  <c r="A573" i="1" s="1"/>
  <c r="J572" i="1" a="1"/>
  <c r="J572" i="1" s="1"/>
  <c r="B572" i="1"/>
  <c r="A572" i="1"/>
  <c r="J571" i="1" a="1"/>
  <c r="J571" i="1" s="1"/>
  <c r="B571" i="1"/>
  <c r="A571" i="1" s="1"/>
  <c r="J570" i="1" a="1"/>
  <c r="J570" i="1" s="1"/>
  <c r="B570" i="1"/>
  <c r="A570" i="1"/>
  <c r="J569" i="1"/>
  <c r="J569" i="1" a="1"/>
  <c r="B569" i="1"/>
  <c r="A569" i="1" s="1"/>
  <c r="J568" i="1"/>
  <c r="J568" i="1" a="1"/>
  <c r="B568" i="1"/>
  <c r="A568" i="1"/>
  <c r="J567" i="1"/>
  <c r="J567" i="1" a="1"/>
  <c r="B567" i="1"/>
  <c r="A567" i="1" s="1"/>
  <c r="J566" i="1" a="1"/>
  <c r="J566" i="1" s="1"/>
  <c r="B566" i="1"/>
  <c r="A566" i="1"/>
  <c r="J565" i="1"/>
  <c r="J565" i="1" a="1"/>
  <c r="B565" i="1"/>
  <c r="A565" i="1" s="1"/>
  <c r="J564" i="1" a="1"/>
  <c r="J564" i="1" s="1"/>
  <c r="B564" i="1"/>
  <c r="A564" i="1"/>
  <c r="J563" i="1" a="1"/>
  <c r="J563" i="1" s="1"/>
  <c r="B563" i="1"/>
  <c r="A563" i="1" s="1"/>
  <c r="J562" i="1"/>
  <c r="J562" i="1" a="1"/>
  <c r="B562" i="1"/>
  <c r="A562" i="1"/>
  <c r="J561" i="1" a="1"/>
  <c r="J561" i="1" s="1"/>
  <c r="B561" i="1"/>
  <c r="A561" i="1" s="1"/>
  <c r="J560" i="1"/>
  <c r="J560" i="1" a="1"/>
  <c r="B560" i="1"/>
  <c r="A560" i="1"/>
  <c r="J559" i="1"/>
  <c r="J559" i="1" a="1"/>
  <c r="B559" i="1"/>
  <c r="A559" i="1" s="1"/>
  <c r="J558" i="1"/>
  <c r="J558" i="1" a="1"/>
  <c r="B558" i="1"/>
  <c r="A558" i="1"/>
  <c r="J557" i="1" a="1"/>
  <c r="J557" i="1" s="1"/>
  <c r="B557" i="1"/>
  <c r="A557" i="1" s="1"/>
  <c r="J556" i="1" a="1"/>
  <c r="J556" i="1" s="1"/>
  <c r="B556" i="1"/>
  <c r="A556" i="1"/>
  <c r="J555" i="1" a="1"/>
  <c r="J555" i="1" s="1"/>
  <c r="B555" i="1"/>
  <c r="A555" i="1" s="1"/>
  <c r="J554" i="1" a="1"/>
  <c r="J554" i="1" s="1"/>
  <c r="B554" i="1"/>
  <c r="A554" i="1"/>
  <c r="J553" i="1"/>
  <c r="J553" i="1" a="1"/>
  <c r="B553" i="1"/>
  <c r="A553" i="1" s="1"/>
  <c r="J552" i="1"/>
  <c r="J552" i="1" a="1"/>
  <c r="B552" i="1"/>
  <c r="A552" i="1"/>
  <c r="J551" i="1"/>
  <c r="J551" i="1" a="1"/>
  <c r="B551" i="1"/>
  <c r="A551" i="1" s="1"/>
  <c r="J550" i="1" a="1"/>
  <c r="J550" i="1" s="1"/>
  <c r="B550" i="1"/>
  <c r="A550" i="1"/>
  <c r="J549" i="1"/>
  <c r="J549" i="1" a="1"/>
  <c r="B549" i="1"/>
  <c r="A549" i="1" s="1"/>
  <c r="J548" i="1" a="1"/>
  <c r="J548" i="1" s="1"/>
  <c r="B548" i="1"/>
  <c r="A548" i="1"/>
  <c r="J547" i="1" a="1"/>
  <c r="J547" i="1" s="1"/>
  <c r="B547" i="1"/>
  <c r="A547" i="1" s="1"/>
  <c r="J546" i="1"/>
  <c r="J546" i="1" a="1"/>
  <c r="B546" i="1"/>
  <c r="A546" i="1"/>
  <c r="J545" i="1" a="1"/>
  <c r="J545" i="1" s="1"/>
  <c r="B545" i="1"/>
  <c r="A545" i="1" s="1"/>
  <c r="J544" i="1"/>
  <c r="J544" i="1" a="1"/>
  <c r="B544" i="1"/>
  <c r="A544" i="1"/>
  <c r="J543" i="1"/>
  <c r="J543" i="1" a="1"/>
  <c r="B543" i="1"/>
  <c r="A543" i="1" s="1"/>
  <c r="J542" i="1"/>
  <c r="J542" i="1" a="1"/>
  <c r="B542" i="1"/>
  <c r="A542" i="1"/>
  <c r="J541" i="1" a="1"/>
  <c r="J541" i="1" s="1"/>
  <c r="B541" i="1"/>
  <c r="A541" i="1" s="1"/>
  <c r="J540" i="1" a="1"/>
  <c r="J540" i="1" s="1"/>
  <c r="B540" i="1"/>
  <c r="A540" i="1" s="1"/>
  <c r="J539" i="1" a="1"/>
  <c r="J539" i="1" s="1"/>
  <c r="B539" i="1"/>
  <c r="A539" i="1" s="1"/>
  <c r="J538" i="1" a="1"/>
  <c r="J538" i="1" s="1"/>
  <c r="B538" i="1"/>
  <c r="A538" i="1" s="1"/>
  <c r="J537" i="1"/>
  <c r="J537" i="1" a="1"/>
  <c r="B537" i="1"/>
  <c r="A537" i="1" s="1"/>
  <c r="J536" i="1"/>
  <c r="J536" i="1" a="1"/>
  <c r="B536" i="1"/>
  <c r="A536" i="1" s="1"/>
  <c r="J535" i="1"/>
  <c r="J535" i="1" a="1"/>
  <c r="B535" i="1"/>
  <c r="A535" i="1" s="1"/>
  <c r="J534" i="1" a="1"/>
  <c r="J534" i="1" s="1"/>
  <c r="B534" i="1"/>
  <c r="A534" i="1"/>
  <c r="J533" i="1"/>
  <c r="J533" i="1" a="1"/>
  <c r="B533" i="1"/>
  <c r="A533" i="1" s="1"/>
  <c r="J532" i="1" a="1"/>
  <c r="J532" i="1" s="1"/>
  <c r="B532" i="1"/>
  <c r="A532" i="1" s="1"/>
  <c r="J531" i="1"/>
  <c r="J531" i="1" a="1"/>
  <c r="B531" i="1"/>
  <c r="A531" i="1" s="1"/>
  <c r="J530" i="1"/>
  <c r="J530" i="1" a="1"/>
  <c r="B530" i="1"/>
  <c r="A530" i="1"/>
  <c r="J529" i="1" a="1"/>
  <c r="J529" i="1" s="1"/>
  <c r="B529" i="1"/>
  <c r="A529" i="1" s="1"/>
  <c r="J528" i="1"/>
  <c r="J528" i="1" a="1"/>
  <c r="B528" i="1"/>
  <c r="A528" i="1"/>
  <c r="J527" i="1"/>
  <c r="J527" i="1" a="1"/>
  <c r="B527" i="1"/>
  <c r="A527" i="1" s="1"/>
  <c r="J526" i="1"/>
  <c r="J526" i="1" a="1"/>
  <c r="B526" i="1"/>
  <c r="A526" i="1" s="1"/>
  <c r="J525" i="1" a="1"/>
  <c r="J525" i="1" s="1"/>
  <c r="B525" i="1"/>
  <c r="A525" i="1" s="1"/>
  <c r="J524" i="1"/>
  <c r="J524" i="1" a="1"/>
  <c r="B524" i="1"/>
  <c r="A524" i="1" s="1"/>
  <c r="J523" i="1" a="1"/>
  <c r="J523" i="1" s="1"/>
  <c r="B523" i="1"/>
  <c r="A523" i="1" s="1"/>
  <c r="J522" i="1" a="1"/>
  <c r="J522" i="1" s="1"/>
  <c r="B522" i="1"/>
  <c r="A522" i="1" s="1"/>
  <c r="J521" i="1"/>
  <c r="J521" i="1" a="1"/>
  <c r="B521" i="1"/>
  <c r="A521" i="1" s="1"/>
  <c r="J520" i="1"/>
  <c r="J520" i="1" a="1"/>
  <c r="B520" i="1"/>
  <c r="A520" i="1"/>
  <c r="J519" i="1"/>
  <c r="J519" i="1" a="1"/>
  <c r="B519" i="1"/>
  <c r="A519" i="1" s="1"/>
  <c r="J518" i="1" a="1"/>
  <c r="J518" i="1" s="1"/>
  <c r="B518" i="1"/>
  <c r="A518" i="1"/>
  <c r="J517" i="1"/>
  <c r="J517" i="1" a="1"/>
  <c r="B517" i="1"/>
  <c r="A517" i="1" s="1"/>
  <c r="J516" i="1" a="1"/>
  <c r="J516" i="1" s="1"/>
  <c r="B516" i="1"/>
  <c r="A516" i="1" s="1"/>
  <c r="J515" i="1" a="1"/>
  <c r="J515" i="1" s="1"/>
  <c r="B515" i="1"/>
  <c r="A515" i="1" s="1"/>
  <c r="J514" i="1"/>
  <c r="J514" i="1" a="1"/>
  <c r="B514" i="1"/>
  <c r="A514" i="1"/>
  <c r="J513" i="1" a="1"/>
  <c r="J513" i="1" s="1"/>
  <c r="B513" i="1"/>
  <c r="A513" i="1" s="1"/>
  <c r="J512" i="1"/>
  <c r="J512" i="1" a="1"/>
  <c r="B512" i="1"/>
  <c r="A512" i="1"/>
  <c r="J511" i="1"/>
  <c r="J511" i="1" a="1"/>
  <c r="B511" i="1"/>
  <c r="A511" i="1" s="1"/>
  <c r="J510" i="1"/>
  <c r="J510" i="1" a="1"/>
  <c r="B510" i="1"/>
  <c r="A510" i="1" s="1"/>
  <c r="J509" i="1" a="1"/>
  <c r="J509" i="1" s="1"/>
  <c r="B509" i="1"/>
  <c r="A509" i="1" s="1"/>
  <c r="J508" i="1" a="1"/>
  <c r="J508" i="1" s="1"/>
  <c r="B508" i="1"/>
  <c r="A508" i="1" s="1"/>
  <c r="J507" i="1" a="1"/>
  <c r="J507" i="1" s="1"/>
  <c r="B507" i="1"/>
  <c r="A507" i="1" s="1"/>
  <c r="J506" i="1" a="1"/>
  <c r="J506" i="1" s="1"/>
  <c r="B506" i="1"/>
  <c r="A506" i="1" s="1"/>
  <c r="J505" i="1"/>
  <c r="J505" i="1" a="1"/>
  <c r="B505" i="1"/>
  <c r="A505" i="1" s="1"/>
  <c r="J504" i="1"/>
  <c r="J504" i="1" a="1"/>
  <c r="B504" i="1"/>
  <c r="A504" i="1" s="1"/>
  <c r="J503" i="1"/>
  <c r="J503" i="1" a="1"/>
  <c r="B503" i="1"/>
  <c r="A503" i="1" s="1"/>
  <c r="J502" i="1"/>
  <c r="J502" i="1" a="1"/>
  <c r="B502" i="1"/>
  <c r="A502" i="1"/>
  <c r="J501" i="1"/>
  <c r="J501" i="1" a="1"/>
  <c r="B501" i="1"/>
  <c r="A501" i="1" s="1"/>
  <c r="J500" i="1" a="1"/>
  <c r="J500" i="1" s="1"/>
  <c r="B500" i="1"/>
  <c r="A500" i="1" s="1"/>
  <c r="J499" i="1" a="1"/>
  <c r="J499" i="1" s="1"/>
  <c r="B499" i="1"/>
  <c r="A499" i="1" s="1"/>
  <c r="J498" i="1"/>
  <c r="J498" i="1" a="1"/>
  <c r="B498" i="1"/>
  <c r="A498" i="1" s="1"/>
  <c r="J497" i="1" a="1"/>
  <c r="J497" i="1" s="1"/>
  <c r="B497" i="1"/>
  <c r="A497" i="1" s="1"/>
  <c r="J496" i="1"/>
  <c r="J496" i="1" a="1"/>
  <c r="B496" i="1"/>
  <c r="A496" i="1"/>
  <c r="J495" i="1"/>
  <c r="J495" i="1" a="1"/>
  <c r="B495" i="1"/>
  <c r="A495" i="1" s="1"/>
  <c r="J494" i="1" a="1"/>
  <c r="J494" i="1" s="1"/>
  <c r="B494" i="1"/>
  <c r="A494" i="1" s="1"/>
  <c r="J493" i="1" a="1"/>
  <c r="J493" i="1" s="1"/>
  <c r="B493" i="1"/>
  <c r="A493" i="1" s="1"/>
  <c r="J492" i="1" a="1"/>
  <c r="J492" i="1" s="1"/>
  <c r="B492" i="1"/>
  <c r="A492" i="1" s="1"/>
  <c r="J491" i="1" a="1"/>
  <c r="J491" i="1" s="1"/>
  <c r="B491" i="1"/>
  <c r="A491" i="1" s="1"/>
  <c r="J490" i="1" a="1"/>
  <c r="J490" i="1" s="1"/>
  <c r="B490" i="1"/>
  <c r="A490" i="1" s="1"/>
  <c r="J489" i="1"/>
  <c r="J489" i="1" a="1"/>
  <c r="B489" i="1"/>
  <c r="A489" i="1" s="1"/>
  <c r="J488" i="1"/>
  <c r="J488" i="1" a="1"/>
  <c r="B488" i="1"/>
  <c r="A488" i="1"/>
  <c r="J487" i="1"/>
  <c r="J487" i="1" a="1"/>
  <c r="B487" i="1"/>
  <c r="A487" i="1" s="1"/>
  <c r="J486" i="1" a="1"/>
  <c r="J486" i="1" s="1"/>
  <c r="B486" i="1"/>
  <c r="A486" i="1"/>
  <c r="J485" i="1"/>
  <c r="J485" i="1" a="1"/>
  <c r="B485" i="1"/>
  <c r="A485" i="1" s="1"/>
  <c r="J484" i="1" a="1"/>
  <c r="J484" i="1" s="1"/>
  <c r="B484" i="1"/>
  <c r="A484" i="1" s="1"/>
  <c r="J483" i="1" a="1"/>
  <c r="J483" i="1" s="1"/>
  <c r="B483" i="1"/>
  <c r="A483" i="1" s="1"/>
  <c r="J482" i="1"/>
  <c r="J482" i="1" a="1"/>
  <c r="B482" i="1"/>
  <c r="A482" i="1"/>
  <c r="J481" i="1" a="1"/>
  <c r="J481" i="1" s="1"/>
  <c r="B481" i="1"/>
  <c r="A481" i="1" s="1"/>
  <c r="J480" i="1"/>
  <c r="J480" i="1" a="1"/>
  <c r="B480" i="1"/>
  <c r="A480" i="1"/>
  <c r="J479" i="1"/>
  <c r="J479" i="1" a="1"/>
  <c r="B479" i="1"/>
  <c r="A479" i="1" s="1"/>
  <c r="J478" i="1" a="1"/>
  <c r="J478" i="1" s="1"/>
  <c r="B478" i="1"/>
  <c r="A478" i="1" s="1"/>
  <c r="J477" i="1"/>
  <c r="J477" i="1" a="1"/>
  <c r="B477" i="1"/>
  <c r="A477" i="1" s="1"/>
  <c r="J476" i="1"/>
  <c r="J476" i="1" a="1"/>
  <c r="B476" i="1"/>
  <c r="A476" i="1" s="1"/>
  <c r="J475" i="1" a="1"/>
  <c r="J475" i="1" s="1"/>
  <c r="B475" i="1"/>
  <c r="A475" i="1" s="1"/>
  <c r="J474" i="1" a="1"/>
  <c r="J474" i="1" s="1"/>
  <c r="B474" i="1"/>
  <c r="A474" i="1" s="1"/>
  <c r="J473" i="1"/>
  <c r="J473" i="1" a="1"/>
  <c r="B473" i="1"/>
  <c r="A473" i="1" s="1"/>
  <c r="J472" i="1"/>
  <c r="J472" i="1" a="1"/>
  <c r="B472" i="1"/>
  <c r="A472" i="1" s="1"/>
  <c r="J471" i="1"/>
  <c r="J471" i="1" a="1"/>
  <c r="B471" i="1"/>
  <c r="A471" i="1" s="1"/>
  <c r="J470" i="1" a="1"/>
  <c r="J470" i="1" s="1"/>
  <c r="B470" i="1"/>
  <c r="A470" i="1"/>
  <c r="J469" i="1"/>
  <c r="J469" i="1" a="1"/>
  <c r="B469" i="1"/>
  <c r="A469" i="1" s="1"/>
  <c r="J468" i="1" a="1"/>
  <c r="J468" i="1" s="1"/>
  <c r="B468" i="1"/>
  <c r="A468" i="1" s="1"/>
  <c r="J467" i="1"/>
  <c r="J467" i="1" a="1"/>
  <c r="B467" i="1"/>
  <c r="A467" i="1" s="1"/>
  <c r="J466" i="1" a="1"/>
  <c r="J466" i="1" s="1"/>
  <c r="B466" i="1"/>
  <c r="A466" i="1" s="1"/>
  <c r="J465" i="1"/>
  <c r="J465" i="1" a="1"/>
  <c r="B465" i="1"/>
  <c r="A465" i="1" s="1"/>
  <c r="J464" i="1" a="1"/>
  <c r="J464" i="1" s="1"/>
  <c r="B464" i="1"/>
  <c r="A464" i="1" s="1"/>
  <c r="J463" i="1"/>
  <c r="J463" i="1" a="1"/>
  <c r="B463" i="1"/>
  <c r="A463" i="1" s="1"/>
  <c r="J462" i="1" a="1"/>
  <c r="J462" i="1" s="1"/>
  <c r="B462" i="1"/>
  <c r="A462" i="1" s="1"/>
  <c r="J461" i="1" a="1"/>
  <c r="J461" i="1" s="1"/>
  <c r="B461" i="1"/>
  <c r="A461" i="1" s="1"/>
  <c r="J460" i="1" a="1"/>
  <c r="J460" i="1" s="1"/>
  <c r="B460" i="1"/>
  <c r="A460" i="1" s="1"/>
  <c r="J459" i="1" a="1"/>
  <c r="J459" i="1" s="1"/>
  <c r="B459" i="1"/>
  <c r="A459" i="1" s="1"/>
  <c r="J458" i="1" a="1"/>
  <c r="J458" i="1" s="1"/>
  <c r="B458" i="1"/>
  <c r="A458" i="1" s="1"/>
  <c r="J457" i="1" a="1"/>
  <c r="J457" i="1" s="1"/>
  <c r="B457" i="1"/>
  <c r="A457" i="1" s="1"/>
  <c r="J456" i="1" a="1"/>
  <c r="J456" i="1" s="1"/>
  <c r="B456" i="1"/>
  <c r="A456" i="1" s="1"/>
  <c r="J455" i="1" a="1"/>
  <c r="J455" i="1" s="1"/>
  <c r="B455" i="1"/>
  <c r="A455" i="1" s="1"/>
  <c r="J454" i="1" a="1"/>
  <c r="J454" i="1" s="1"/>
  <c r="B454" i="1"/>
  <c r="A454" i="1" s="1"/>
  <c r="J453" i="1"/>
  <c r="J453" i="1" a="1"/>
  <c r="B453" i="1"/>
  <c r="A453" i="1" s="1"/>
  <c r="J452" i="1" a="1"/>
  <c r="J452" i="1" s="1"/>
  <c r="B452" i="1"/>
  <c r="A452" i="1" s="1"/>
  <c r="J451" i="1"/>
  <c r="J451" i="1" a="1"/>
  <c r="B451" i="1"/>
  <c r="A451" i="1" s="1"/>
  <c r="J450" i="1" a="1"/>
  <c r="J450" i="1" s="1"/>
  <c r="B450" i="1"/>
  <c r="A450" i="1" s="1"/>
  <c r="J449" i="1"/>
  <c r="J449" i="1" a="1"/>
  <c r="B449" i="1"/>
  <c r="A449" i="1" s="1"/>
  <c r="J448" i="1" a="1"/>
  <c r="J448" i="1" s="1"/>
  <c r="B448" i="1"/>
  <c r="A448" i="1" s="1"/>
  <c r="J447" i="1"/>
  <c r="J447" i="1" a="1"/>
  <c r="B447" i="1"/>
  <c r="A447" i="1" s="1"/>
  <c r="J446" i="1" a="1"/>
  <c r="J446" i="1" s="1"/>
  <c r="B446" i="1"/>
  <c r="A446" i="1" s="1"/>
  <c r="J445" i="1" a="1"/>
  <c r="J445" i="1" s="1"/>
  <c r="B445" i="1"/>
  <c r="A445" i="1" s="1"/>
  <c r="J444" i="1" a="1"/>
  <c r="J444" i="1" s="1"/>
  <c r="B444" i="1"/>
  <c r="A444" i="1" s="1"/>
  <c r="J443" i="1" a="1"/>
  <c r="J443" i="1" s="1"/>
  <c r="B443" i="1"/>
  <c r="A443" i="1" s="1"/>
  <c r="J442" i="1" a="1"/>
  <c r="J442" i="1" s="1"/>
  <c r="B442" i="1"/>
  <c r="A442" i="1" s="1"/>
  <c r="J441" i="1" a="1"/>
  <c r="J441" i="1" s="1"/>
  <c r="B441" i="1"/>
  <c r="A441" i="1" s="1"/>
  <c r="J440" i="1" a="1"/>
  <c r="J440" i="1" s="1"/>
  <c r="B440" i="1"/>
  <c r="A440" i="1" s="1"/>
  <c r="J439" i="1" a="1"/>
  <c r="J439" i="1" s="1"/>
  <c r="B439" i="1"/>
  <c r="A439" i="1" s="1"/>
  <c r="J438" i="1" a="1"/>
  <c r="J438" i="1" s="1"/>
  <c r="B438" i="1"/>
  <c r="A438" i="1" s="1"/>
  <c r="J437" i="1"/>
  <c r="J437" i="1" a="1"/>
  <c r="B437" i="1"/>
  <c r="A437" i="1" s="1"/>
  <c r="J436" i="1" a="1"/>
  <c r="J436" i="1" s="1"/>
  <c r="B436" i="1"/>
  <c r="A436" i="1" s="1"/>
  <c r="J435" i="1"/>
  <c r="J435" i="1" a="1"/>
  <c r="B435" i="1"/>
  <c r="A435" i="1" s="1"/>
  <c r="J434" i="1" a="1"/>
  <c r="J434" i="1" s="1"/>
  <c r="B434" i="1"/>
  <c r="A434" i="1" s="1"/>
  <c r="J433" i="1"/>
  <c r="J433" i="1" a="1"/>
  <c r="B433" i="1"/>
  <c r="A433" i="1" s="1"/>
  <c r="J432" i="1" a="1"/>
  <c r="J432" i="1" s="1"/>
  <c r="B432" i="1"/>
  <c r="A432" i="1" s="1"/>
  <c r="J431" i="1"/>
  <c r="J431" i="1" a="1"/>
  <c r="B431" i="1"/>
  <c r="A431" i="1" s="1"/>
  <c r="J430" i="1" a="1"/>
  <c r="J430" i="1" s="1"/>
  <c r="B430" i="1"/>
  <c r="A430" i="1" s="1"/>
  <c r="J429" i="1" a="1"/>
  <c r="J429" i="1" s="1"/>
  <c r="B429" i="1"/>
  <c r="A429" i="1" s="1"/>
  <c r="J428" i="1" a="1"/>
  <c r="J428" i="1" s="1"/>
  <c r="B428" i="1"/>
  <c r="A428" i="1" s="1"/>
  <c r="J427" i="1" a="1"/>
  <c r="J427" i="1" s="1"/>
  <c r="I427" i="1"/>
  <c r="B427" i="1"/>
  <c r="A427" i="1" s="1"/>
  <c r="J426" i="1"/>
  <c r="J426" i="1" a="1"/>
  <c r="I426" i="1"/>
  <c r="B426" i="1"/>
  <c r="A426" i="1" s="1"/>
  <c r="J425" i="1"/>
  <c r="J425" i="1" a="1"/>
  <c r="I425" i="1"/>
  <c r="B425" i="1"/>
  <c r="A425" i="1" s="1"/>
  <c r="J424" i="1" a="1"/>
  <c r="J424" i="1" s="1"/>
  <c r="I424" i="1"/>
  <c r="B424" i="1"/>
  <c r="A424" i="1" s="1"/>
  <c r="J423" i="1" a="1"/>
  <c r="J423" i="1" s="1"/>
  <c r="I423" i="1"/>
  <c r="B423" i="1"/>
  <c r="A423" i="1"/>
  <c r="J422" i="1" a="1"/>
  <c r="J422" i="1" s="1"/>
  <c r="I422" i="1"/>
  <c r="B422" i="1"/>
  <c r="A422" i="1"/>
  <c r="I421" i="1"/>
  <c r="J421" i="1" s="1" a="1"/>
  <c r="J421" i="1" s="1"/>
  <c r="B421" i="1"/>
  <c r="A421" i="1" s="1"/>
  <c r="J420" i="1"/>
  <c r="J420" i="1" a="1"/>
  <c r="B420" i="1"/>
  <c r="A420" i="1"/>
  <c r="J419" i="1" a="1"/>
  <c r="J419" i="1" s="1"/>
  <c r="B419" i="1"/>
  <c r="A419" i="1"/>
  <c r="J418" i="1"/>
  <c r="J418" i="1" a="1"/>
  <c r="B418" i="1"/>
  <c r="A418" i="1" s="1"/>
  <c r="J417" i="1" a="1"/>
  <c r="J417" i="1" s="1"/>
  <c r="B417" i="1"/>
  <c r="A417" i="1"/>
  <c r="J416" i="1"/>
  <c r="J416" i="1" a="1"/>
  <c r="B416" i="1"/>
  <c r="A416" i="1" s="1"/>
  <c r="J415" i="1" a="1"/>
  <c r="J415" i="1" s="1"/>
  <c r="B415" i="1"/>
  <c r="A415" i="1" s="1"/>
  <c r="J414" i="1"/>
  <c r="J414" i="1" a="1"/>
  <c r="B414" i="1"/>
  <c r="A414" i="1"/>
  <c r="J413" i="1" a="1"/>
  <c r="J413" i="1" s="1"/>
  <c r="B413" i="1"/>
  <c r="A413" i="1"/>
  <c r="J412" i="1"/>
  <c r="J412" i="1" a="1"/>
  <c r="B412" i="1"/>
  <c r="A412" i="1" s="1"/>
  <c r="J411" i="1" a="1"/>
  <c r="J411" i="1" s="1"/>
  <c r="B411" i="1"/>
  <c r="A411" i="1" s="1"/>
  <c r="J410" i="1"/>
  <c r="J410" i="1" a="1"/>
  <c r="B410" i="1"/>
  <c r="A410" i="1"/>
  <c r="J409" i="1" a="1"/>
  <c r="J409" i="1" s="1"/>
  <c r="B409" i="1"/>
  <c r="A409" i="1" s="1"/>
  <c r="J408" i="1"/>
  <c r="J408" i="1" a="1"/>
  <c r="B408" i="1"/>
  <c r="A408" i="1"/>
  <c r="J407" i="1" a="1"/>
  <c r="J407" i="1" s="1"/>
  <c r="B407" i="1"/>
  <c r="A407" i="1"/>
  <c r="J406" i="1"/>
  <c r="J406" i="1" a="1"/>
  <c r="B406" i="1"/>
  <c r="A406" i="1" s="1"/>
  <c r="J405" i="1" a="1"/>
  <c r="J405" i="1" s="1"/>
  <c r="B405" i="1"/>
  <c r="A405" i="1" s="1"/>
  <c r="J404" i="1"/>
  <c r="J404" i="1" a="1"/>
  <c r="B404" i="1"/>
  <c r="A404" i="1"/>
  <c r="J403" i="1" a="1"/>
  <c r="J403" i="1" s="1"/>
  <c r="B403" i="1"/>
  <c r="A403" i="1"/>
  <c r="J402" i="1"/>
  <c r="J402" i="1" a="1"/>
  <c r="B402" i="1"/>
  <c r="A402" i="1" s="1"/>
  <c r="J401" i="1" a="1"/>
  <c r="J401" i="1" s="1"/>
  <c r="B401" i="1"/>
  <c r="A401" i="1"/>
  <c r="J400" i="1"/>
  <c r="J400" i="1" a="1"/>
  <c r="B400" i="1"/>
  <c r="A400" i="1" s="1"/>
  <c r="J399" i="1" a="1"/>
  <c r="J399" i="1" s="1"/>
  <c r="B399" i="1"/>
  <c r="A399" i="1" s="1"/>
  <c r="J398" i="1"/>
  <c r="J398" i="1" a="1"/>
  <c r="B398" i="1"/>
  <c r="A398" i="1"/>
  <c r="J397" i="1" a="1"/>
  <c r="J397" i="1" s="1"/>
  <c r="B397" i="1"/>
  <c r="A397" i="1"/>
  <c r="J396" i="1"/>
  <c r="J396" i="1" a="1"/>
  <c r="B396" i="1"/>
  <c r="A396" i="1" s="1"/>
  <c r="J395" i="1" a="1"/>
  <c r="J395" i="1" s="1"/>
  <c r="B395" i="1"/>
  <c r="A395" i="1" s="1"/>
  <c r="J394" i="1"/>
  <c r="J394" i="1" a="1"/>
  <c r="B394" i="1"/>
  <c r="A394" i="1"/>
  <c r="J393" i="1" a="1"/>
  <c r="J393" i="1" s="1"/>
  <c r="B393" i="1"/>
  <c r="A393" i="1" s="1"/>
  <c r="J392" i="1"/>
  <c r="J392" i="1" a="1"/>
  <c r="B392" i="1"/>
  <c r="A392" i="1"/>
  <c r="J391" i="1" a="1"/>
  <c r="J391" i="1" s="1"/>
  <c r="B391" i="1"/>
  <c r="A391" i="1"/>
  <c r="J390" i="1" a="1"/>
  <c r="J390" i="1" s="1"/>
  <c r="B390" i="1"/>
  <c r="A390" i="1"/>
  <c r="J389" i="1" a="1"/>
  <c r="J389" i="1" s="1"/>
  <c r="B389" i="1"/>
  <c r="A389" i="1"/>
  <c r="J388" i="1" a="1"/>
  <c r="J388" i="1" s="1"/>
  <c r="B388" i="1"/>
  <c r="A388" i="1" s="1"/>
  <c r="J387" i="1" a="1"/>
  <c r="J387" i="1" s="1"/>
  <c r="B387" i="1"/>
  <c r="A387" i="1" s="1"/>
  <c r="J386" i="1" a="1"/>
  <c r="J386" i="1" s="1"/>
  <c r="B386" i="1"/>
  <c r="A386" i="1" s="1"/>
  <c r="J385" i="1" a="1"/>
  <c r="J385" i="1" s="1"/>
  <c r="B385" i="1"/>
  <c r="A385" i="1" s="1"/>
  <c r="J384" i="1" a="1"/>
  <c r="J384" i="1" s="1"/>
  <c r="B384" i="1"/>
  <c r="A384" i="1"/>
  <c r="J383" i="1" a="1"/>
  <c r="J383" i="1" s="1"/>
  <c r="B383" i="1"/>
  <c r="A383" i="1"/>
  <c r="J382" i="1" a="1"/>
  <c r="J382" i="1" s="1"/>
  <c r="B382" i="1"/>
  <c r="A382" i="1"/>
  <c r="J381" i="1" a="1"/>
  <c r="J381" i="1" s="1"/>
  <c r="B381" i="1"/>
  <c r="A381" i="1"/>
  <c r="J380" i="1" a="1"/>
  <c r="J380" i="1" s="1"/>
  <c r="B380" i="1"/>
  <c r="A380" i="1" s="1"/>
  <c r="J379" i="1" a="1"/>
  <c r="J379" i="1" s="1"/>
  <c r="B379" i="1"/>
  <c r="A379" i="1" s="1"/>
  <c r="J378" i="1" a="1"/>
  <c r="J378" i="1" s="1"/>
  <c r="B378" i="1"/>
  <c r="A378" i="1" s="1"/>
  <c r="J377" i="1" a="1"/>
  <c r="J377" i="1" s="1"/>
  <c r="B377" i="1"/>
  <c r="A377" i="1" s="1"/>
  <c r="J376" i="1" a="1"/>
  <c r="J376" i="1" s="1"/>
  <c r="B376" i="1"/>
  <c r="A376" i="1"/>
  <c r="J375" i="1" a="1"/>
  <c r="J375" i="1" s="1"/>
  <c r="B375" i="1"/>
  <c r="A375" i="1"/>
  <c r="J374" i="1" a="1"/>
  <c r="J374" i="1" s="1"/>
  <c r="B374" i="1"/>
  <c r="A374" i="1"/>
  <c r="J373" i="1" a="1"/>
  <c r="J373" i="1" s="1"/>
  <c r="B373" i="1"/>
  <c r="A373" i="1"/>
  <c r="J372" i="1" a="1"/>
  <c r="J372" i="1" s="1"/>
  <c r="B372" i="1"/>
  <c r="A372" i="1" s="1"/>
  <c r="J371" i="1" a="1"/>
  <c r="J371" i="1" s="1"/>
  <c r="B371" i="1"/>
  <c r="A371" i="1" s="1"/>
  <c r="J370" i="1" a="1"/>
  <c r="J370" i="1" s="1"/>
  <c r="B370" i="1"/>
  <c r="A370" i="1" s="1"/>
  <c r="J369" i="1" a="1"/>
  <c r="J369" i="1" s="1"/>
  <c r="B369" i="1"/>
  <c r="A369" i="1" s="1"/>
  <c r="J368" i="1" a="1"/>
  <c r="J368" i="1" s="1"/>
  <c r="B368" i="1"/>
  <c r="A368" i="1"/>
  <c r="J367" i="1" a="1"/>
  <c r="J367" i="1" s="1"/>
  <c r="B367" i="1"/>
  <c r="A367" i="1"/>
  <c r="J366" i="1" a="1"/>
  <c r="J366" i="1" s="1"/>
  <c r="B366" i="1"/>
  <c r="A366" i="1"/>
  <c r="J365" i="1" a="1"/>
  <c r="J365" i="1" s="1"/>
  <c r="B365" i="1"/>
  <c r="A365" i="1"/>
  <c r="J364" i="1" a="1"/>
  <c r="J364" i="1" s="1"/>
  <c r="B364" i="1"/>
  <c r="A364" i="1" s="1"/>
  <c r="J363" i="1" a="1"/>
  <c r="J363" i="1" s="1"/>
  <c r="B363" i="1"/>
  <c r="A363" i="1" s="1"/>
  <c r="J362" i="1" a="1"/>
  <c r="J362" i="1" s="1"/>
  <c r="B362" i="1"/>
  <c r="A362" i="1" s="1"/>
  <c r="J361" i="1" a="1"/>
  <c r="J361" i="1" s="1"/>
  <c r="B361" i="1"/>
  <c r="A361" i="1" s="1"/>
  <c r="J360" i="1" a="1"/>
  <c r="J360" i="1" s="1"/>
  <c r="B360" i="1"/>
  <c r="A360" i="1"/>
  <c r="J359" i="1" a="1"/>
  <c r="J359" i="1" s="1"/>
  <c r="B359" i="1"/>
  <c r="A359" i="1"/>
  <c r="J358" i="1" a="1"/>
  <c r="J358" i="1" s="1"/>
  <c r="B358" i="1"/>
  <c r="A358" i="1"/>
  <c r="J357" i="1" a="1"/>
  <c r="J357" i="1" s="1"/>
  <c r="B357" i="1"/>
  <c r="A357" i="1"/>
  <c r="J356" i="1" a="1"/>
  <c r="J356" i="1" s="1"/>
  <c r="B356" i="1"/>
  <c r="A356" i="1" s="1"/>
  <c r="J355" i="1" a="1"/>
  <c r="J355" i="1" s="1"/>
  <c r="B355" i="1"/>
  <c r="A355" i="1" s="1"/>
  <c r="J354" i="1" a="1"/>
  <c r="J354" i="1" s="1"/>
  <c r="B354" i="1"/>
  <c r="A354" i="1" s="1"/>
  <c r="J353" i="1" a="1"/>
  <c r="J353" i="1" s="1"/>
  <c r="B353" i="1"/>
  <c r="A353" i="1" s="1"/>
  <c r="J352" i="1" a="1"/>
  <c r="J352" i="1" s="1"/>
  <c r="B352" i="1"/>
  <c r="A352" i="1"/>
  <c r="J351" i="1" a="1"/>
  <c r="J351" i="1" s="1"/>
  <c r="B351" i="1"/>
  <c r="A351" i="1"/>
  <c r="J350" i="1" a="1"/>
  <c r="J350" i="1" s="1"/>
  <c r="B350" i="1"/>
  <c r="A350" i="1"/>
  <c r="J349" i="1" a="1"/>
  <c r="J349" i="1" s="1"/>
  <c r="B349" i="1"/>
  <c r="A349" i="1"/>
  <c r="J348" i="1" a="1"/>
  <c r="J348" i="1" s="1"/>
  <c r="B348" i="1"/>
  <c r="A348" i="1" s="1"/>
  <c r="J347" i="1" a="1"/>
  <c r="J347" i="1" s="1"/>
  <c r="B347" i="1"/>
  <c r="A347" i="1" s="1"/>
  <c r="J346" i="1" a="1"/>
  <c r="J346" i="1" s="1"/>
  <c r="B346" i="1"/>
  <c r="A346" i="1" s="1"/>
  <c r="J345" i="1" a="1"/>
  <c r="J345" i="1" s="1"/>
  <c r="B345" i="1"/>
  <c r="A345" i="1" s="1"/>
  <c r="J344" i="1" a="1"/>
  <c r="J344" i="1" s="1"/>
  <c r="B344" i="1"/>
  <c r="A344" i="1"/>
  <c r="J343" i="1" a="1"/>
  <c r="J343" i="1" s="1"/>
  <c r="B343" i="1"/>
  <c r="A343" i="1"/>
  <c r="J342" i="1" a="1"/>
  <c r="J342" i="1" s="1"/>
  <c r="B342" i="1"/>
  <c r="A342" i="1"/>
  <c r="J341" i="1" a="1"/>
  <c r="J341" i="1" s="1"/>
  <c r="B341" i="1"/>
  <c r="A341" i="1"/>
  <c r="J340" i="1" a="1"/>
  <c r="J340" i="1" s="1"/>
  <c r="B340" i="1"/>
  <c r="A340" i="1" s="1"/>
  <c r="J339" i="1" a="1"/>
  <c r="J339" i="1" s="1"/>
  <c r="B339" i="1"/>
  <c r="A339" i="1" s="1"/>
  <c r="J338" i="1" a="1"/>
  <c r="J338" i="1" s="1"/>
  <c r="B338" i="1"/>
  <c r="A338" i="1" s="1"/>
  <c r="J337" i="1" a="1"/>
  <c r="J337" i="1" s="1"/>
  <c r="B337" i="1"/>
  <c r="A337" i="1" s="1"/>
  <c r="J336" i="1" a="1"/>
  <c r="J336" i="1" s="1"/>
  <c r="B336" i="1"/>
  <c r="A336" i="1"/>
  <c r="J335" i="1" a="1"/>
  <c r="J335" i="1" s="1"/>
  <c r="B335" i="1"/>
  <c r="A335" i="1"/>
  <c r="J334" i="1" a="1"/>
  <c r="J334" i="1" s="1"/>
  <c r="B334" i="1"/>
  <c r="A334" i="1"/>
  <c r="J333" i="1" a="1"/>
  <c r="J333" i="1" s="1"/>
  <c r="B333" i="1"/>
  <c r="A333" i="1"/>
  <c r="J332" i="1" a="1"/>
  <c r="J332" i="1" s="1"/>
  <c r="B332" i="1"/>
  <c r="A332" i="1" s="1"/>
  <c r="J331" i="1" a="1"/>
  <c r="J331" i="1" s="1"/>
  <c r="B331" i="1"/>
  <c r="A331" i="1" s="1"/>
  <c r="J330" i="1" a="1"/>
  <c r="J330" i="1" s="1"/>
  <c r="B330" i="1"/>
  <c r="A330" i="1" s="1"/>
  <c r="J329" i="1" a="1"/>
  <c r="J329" i="1" s="1"/>
  <c r="B329" i="1"/>
  <c r="A329" i="1" s="1"/>
  <c r="J328" i="1" a="1"/>
  <c r="J328" i="1" s="1"/>
  <c r="B328" i="1"/>
  <c r="A328" i="1"/>
  <c r="J327" i="1" a="1"/>
  <c r="J327" i="1" s="1"/>
  <c r="B327" i="1"/>
  <c r="A327" i="1"/>
  <c r="J326" i="1" a="1"/>
  <c r="J326" i="1" s="1"/>
  <c r="B326" i="1"/>
  <c r="A326" i="1"/>
  <c r="J325" i="1" a="1"/>
  <c r="J325" i="1" s="1"/>
  <c r="B325" i="1"/>
  <c r="A325" i="1"/>
  <c r="J324" i="1" a="1"/>
  <c r="J324" i="1" s="1"/>
  <c r="B324" i="1"/>
  <c r="A324" i="1" s="1"/>
  <c r="J323" i="1" a="1"/>
  <c r="J323" i="1" s="1"/>
  <c r="B323" i="1"/>
  <c r="A323" i="1" s="1"/>
  <c r="J322" i="1" a="1"/>
  <c r="J322" i="1" s="1"/>
  <c r="B322" i="1"/>
  <c r="A322" i="1" s="1"/>
  <c r="J321" i="1" a="1"/>
  <c r="J321" i="1" s="1"/>
  <c r="B321" i="1"/>
  <c r="A321" i="1" s="1"/>
  <c r="J320" i="1" a="1"/>
  <c r="J320" i="1" s="1"/>
  <c r="B320" i="1"/>
  <c r="A320" i="1"/>
  <c r="J319" i="1" a="1"/>
  <c r="J319" i="1" s="1"/>
  <c r="B319" i="1"/>
  <c r="A319" i="1"/>
  <c r="J318" i="1" a="1"/>
  <c r="J318" i="1" s="1"/>
  <c r="B318" i="1"/>
  <c r="A318" i="1"/>
  <c r="J317" i="1" a="1"/>
  <c r="J317" i="1" s="1"/>
  <c r="B317" i="1"/>
  <c r="A317" i="1"/>
  <c r="J316" i="1" a="1"/>
  <c r="J316" i="1" s="1"/>
  <c r="B316" i="1"/>
  <c r="A316" i="1" s="1"/>
  <c r="J315" i="1" a="1"/>
  <c r="J315" i="1" s="1"/>
  <c r="B315" i="1"/>
  <c r="A315" i="1" s="1"/>
  <c r="J314" i="1" a="1"/>
  <c r="J314" i="1" s="1"/>
  <c r="B314" i="1"/>
  <c r="A314" i="1" s="1"/>
  <c r="J313" i="1" a="1"/>
  <c r="J313" i="1" s="1"/>
  <c r="B313" i="1"/>
  <c r="A313" i="1" s="1"/>
  <c r="J312" i="1" a="1"/>
  <c r="J312" i="1" s="1"/>
  <c r="B312" i="1"/>
  <c r="A312" i="1"/>
  <c r="J311" i="1" a="1"/>
  <c r="J311" i="1" s="1"/>
  <c r="B311" i="1"/>
  <c r="A311" i="1"/>
  <c r="J310" i="1" a="1"/>
  <c r="J310" i="1" s="1"/>
  <c r="B310" i="1"/>
  <c r="A310" i="1"/>
  <c r="J309" i="1" a="1"/>
  <c r="J309" i="1" s="1"/>
  <c r="B309" i="1"/>
  <c r="A309" i="1"/>
  <c r="J308" i="1" a="1"/>
  <c r="J308" i="1" s="1"/>
  <c r="B308" i="1"/>
  <c r="A308" i="1" s="1"/>
  <c r="J307" i="1" a="1"/>
  <c r="J307" i="1" s="1"/>
  <c r="B307" i="1"/>
  <c r="A307" i="1" s="1"/>
  <c r="J306" i="1" a="1"/>
  <c r="J306" i="1" s="1"/>
  <c r="B306" i="1"/>
  <c r="A306" i="1" s="1"/>
  <c r="J305" i="1" a="1"/>
  <c r="J305" i="1" s="1"/>
  <c r="B305" i="1"/>
  <c r="A305" i="1" s="1"/>
  <c r="J304" i="1" a="1"/>
  <c r="J304" i="1" s="1"/>
  <c r="B304" i="1"/>
  <c r="A304" i="1"/>
  <c r="J303" i="1" a="1"/>
  <c r="J303" i="1" s="1"/>
  <c r="B303" i="1"/>
  <c r="A303" i="1"/>
  <c r="J302" i="1" a="1"/>
  <c r="J302" i="1" s="1"/>
  <c r="B302" i="1"/>
  <c r="A302" i="1"/>
  <c r="J301" i="1" a="1"/>
  <c r="J301" i="1" s="1"/>
  <c r="B301" i="1"/>
  <c r="A301" i="1"/>
  <c r="J300" i="1" a="1"/>
  <c r="J300" i="1" s="1"/>
  <c r="B300" i="1"/>
  <c r="A300" i="1" s="1"/>
  <c r="J299" i="1" a="1"/>
  <c r="J299" i="1" s="1"/>
  <c r="B299" i="1"/>
  <c r="A299" i="1" s="1"/>
  <c r="J298" i="1" a="1"/>
  <c r="J298" i="1" s="1"/>
  <c r="B298" i="1"/>
  <c r="A298" i="1" s="1"/>
  <c r="J297" i="1" a="1"/>
  <c r="J297" i="1" s="1"/>
  <c r="B297" i="1"/>
  <c r="A297" i="1" s="1"/>
  <c r="J296" i="1" a="1"/>
  <c r="J296" i="1" s="1"/>
  <c r="B296" i="1"/>
  <c r="A296" i="1"/>
  <c r="J295" i="1" a="1"/>
  <c r="J295" i="1" s="1"/>
  <c r="B295" i="1"/>
  <c r="A295" i="1"/>
  <c r="J294" i="1" a="1"/>
  <c r="J294" i="1" s="1"/>
  <c r="B294" i="1"/>
  <c r="A294" i="1"/>
  <c r="J293" i="1" a="1"/>
  <c r="J293" i="1" s="1"/>
  <c r="B293" i="1"/>
  <c r="A293" i="1"/>
  <c r="J292" i="1" a="1"/>
  <c r="J292" i="1" s="1"/>
  <c r="B292" i="1"/>
  <c r="A292" i="1" s="1"/>
  <c r="J291" i="1" a="1"/>
  <c r="J291" i="1" s="1"/>
  <c r="B291" i="1"/>
  <c r="A291" i="1" s="1"/>
  <c r="J290" i="1" a="1"/>
  <c r="J290" i="1" s="1"/>
  <c r="B290" i="1"/>
  <c r="A290" i="1" s="1"/>
  <c r="J289" i="1" a="1"/>
  <c r="J289" i="1" s="1"/>
  <c r="B289" i="1"/>
  <c r="A289" i="1" s="1"/>
  <c r="J288" i="1" a="1"/>
  <c r="J288" i="1" s="1"/>
  <c r="B288" i="1"/>
  <c r="A288" i="1"/>
  <c r="J287" i="1" a="1"/>
  <c r="J287" i="1" s="1"/>
  <c r="B287" i="1"/>
  <c r="A287" i="1"/>
  <c r="J286" i="1" a="1"/>
  <c r="J286" i="1" s="1"/>
  <c r="B286" i="1"/>
  <c r="A286" i="1"/>
  <c r="J285" i="1" a="1"/>
  <c r="J285" i="1" s="1"/>
  <c r="B285" i="1"/>
  <c r="A285" i="1"/>
  <c r="J284" i="1" a="1"/>
  <c r="J284" i="1" s="1"/>
  <c r="B284" i="1"/>
  <c r="A284" i="1" s="1"/>
  <c r="J283" i="1" a="1"/>
  <c r="J283" i="1" s="1"/>
  <c r="B283" i="1"/>
  <c r="A283" i="1" s="1"/>
  <c r="J282" i="1" a="1"/>
  <c r="J282" i="1" s="1"/>
  <c r="B282" i="1"/>
  <c r="A282" i="1" s="1"/>
  <c r="J281" i="1" a="1"/>
  <c r="J281" i="1" s="1"/>
  <c r="B281" i="1"/>
  <c r="A281" i="1" s="1"/>
  <c r="J280" i="1" a="1"/>
  <c r="J280" i="1" s="1"/>
  <c r="B280" i="1"/>
  <c r="A280" i="1"/>
  <c r="J279" i="1" a="1"/>
  <c r="J279" i="1" s="1"/>
  <c r="B279" i="1"/>
  <c r="A279" i="1"/>
  <c r="J278" i="1"/>
  <c r="J278" i="1" a="1"/>
  <c r="B278" i="1"/>
  <c r="A278" i="1" s="1"/>
  <c r="J277" i="1" a="1"/>
  <c r="J277" i="1" s="1"/>
  <c r="B277" i="1"/>
  <c r="A277" i="1" s="1"/>
  <c r="J276" i="1"/>
  <c r="J276" i="1" a="1"/>
  <c r="B276" i="1"/>
  <c r="A276" i="1"/>
  <c r="J275" i="1" a="1"/>
  <c r="J275" i="1" s="1"/>
  <c r="B275" i="1"/>
  <c r="A275" i="1"/>
  <c r="J274" i="1" a="1"/>
  <c r="J274" i="1" s="1"/>
  <c r="B274" i="1"/>
  <c r="A274" i="1" s="1"/>
  <c r="J273" i="1" a="1"/>
  <c r="J273" i="1" s="1"/>
  <c r="B273" i="1"/>
  <c r="A273" i="1"/>
  <c r="J272" i="1"/>
  <c r="J272" i="1" a="1"/>
  <c r="B272" i="1"/>
  <c r="A272" i="1" s="1"/>
  <c r="J271" i="1" a="1"/>
  <c r="J271" i="1" s="1"/>
  <c r="B271" i="1"/>
  <c r="A271" i="1" s="1"/>
  <c r="J270" i="1" a="1"/>
  <c r="J270" i="1" s="1"/>
  <c r="B270" i="1"/>
  <c r="A270" i="1"/>
  <c r="J269" i="1" a="1"/>
  <c r="J269" i="1" s="1"/>
  <c r="B269" i="1"/>
  <c r="A269" i="1"/>
  <c r="J268" i="1" a="1"/>
  <c r="J268" i="1" s="1"/>
  <c r="B268" i="1"/>
  <c r="A268" i="1" s="1"/>
  <c r="J267" i="1" a="1"/>
  <c r="J267" i="1" s="1"/>
  <c r="B267" i="1"/>
  <c r="A267" i="1" s="1"/>
  <c r="J266" i="1"/>
  <c r="J266" i="1" a="1"/>
  <c r="B266" i="1"/>
  <c r="A266" i="1"/>
  <c r="J265" i="1" a="1"/>
  <c r="J265" i="1" s="1"/>
  <c r="B265" i="1"/>
  <c r="A265" i="1" s="1"/>
  <c r="J264" i="1" a="1"/>
  <c r="J264" i="1" s="1"/>
  <c r="B264" i="1"/>
  <c r="A264" i="1"/>
  <c r="J263" i="1" a="1"/>
  <c r="J263" i="1" s="1"/>
  <c r="B263" i="1"/>
  <c r="A263" i="1"/>
  <c r="J262" i="1"/>
  <c r="J262" i="1" a="1"/>
  <c r="B262" i="1"/>
  <c r="A262" i="1" s="1"/>
  <c r="J261" i="1" a="1"/>
  <c r="J261" i="1" s="1"/>
  <c r="B261" i="1"/>
  <c r="A261" i="1" s="1"/>
  <c r="J260" i="1"/>
  <c r="J260" i="1" a="1"/>
  <c r="B260" i="1"/>
  <c r="A260" i="1"/>
  <c r="J259" i="1" a="1"/>
  <c r="J259" i="1" s="1"/>
  <c r="B259" i="1"/>
  <c r="A259" i="1"/>
  <c r="J258" i="1" a="1"/>
  <c r="J258" i="1" s="1"/>
  <c r="B258" i="1"/>
  <c r="A258" i="1" s="1"/>
  <c r="J257" i="1" a="1"/>
  <c r="J257" i="1" s="1"/>
  <c r="B257" i="1"/>
  <c r="A257" i="1"/>
  <c r="J256" i="1"/>
  <c r="J256" i="1" a="1"/>
  <c r="B256" i="1"/>
  <c r="A256" i="1" s="1"/>
  <c r="J255" i="1" a="1"/>
  <c r="J255" i="1" s="1"/>
  <c r="B255" i="1"/>
  <c r="A255" i="1" s="1"/>
  <c r="J254" i="1" a="1"/>
  <c r="J254" i="1" s="1"/>
  <c r="B254" i="1"/>
  <c r="A254" i="1"/>
  <c r="J253" i="1" a="1"/>
  <c r="J253" i="1" s="1"/>
  <c r="B253" i="1"/>
  <c r="A253" i="1"/>
  <c r="J252" i="1" a="1"/>
  <c r="J252" i="1" s="1"/>
  <c r="B252" i="1"/>
  <c r="A252" i="1" s="1"/>
  <c r="J251" i="1" a="1"/>
  <c r="J251" i="1" s="1"/>
  <c r="B251" i="1"/>
  <c r="A251" i="1" s="1"/>
  <c r="J250" i="1"/>
  <c r="J250" i="1" a="1"/>
  <c r="B250" i="1"/>
  <c r="A250" i="1"/>
  <c r="J249" i="1" a="1"/>
  <c r="J249" i="1" s="1"/>
  <c r="B249" i="1"/>
  <c r="A249" i="1" s="1"/>
  <c r="J248" i="1" a="1"/>
  <c r="J248" i="1" s="1"/>
  <c r="B248" i="1"/>
  <c r="A248" i="1"/>
  <c r="J247" i="1" a="1"/>
  <c r="J247" i="1" s="1"/>
  <c r="B247" i="1"/>
  <c r="A247" i="1"/>
  <c r="J246" i="1"/>
  <c r="J246" i="1" a="1"/>
  <c r="B246" i="1"/>
  <c r="A246" i="1" s="1"/>
  <c r="J245" i="1" a="1"/>
  <c r="J245" i="1" s="1"/>
  <c r="B245" i="1"/>
  <c r="A245" i="1" s="1"/>
  <c r="J244" i="1"/>
  <c r="J244" i="1" a="1"/>
  <c r="B244" i="1"/>
  <c r="A244" i="1"/>
  <c r="J243" i="1" a="1"/>
  <c r="J243" i="1" s="1"/>
  <c r="B243" i="1"/>
  <c r="A243" i="1"/>
  <c r="J242" i="1" a="1"/>
  <c r="J242" i="1" s="1"/>
  <c r="B242" i="1"/>
  <c r="A242" i="1" s="1"/>
  <c r="J241" i="1" a="1"/>
  <c r="J241" i="1" s="1"/>
  <c r="B241" i="1"/>
  <c r="A241" i="1"/>
  <c r="J240" i="1"/>
  <c r="J240" i="1" a="1"/>
  <c r="B240" i="1"/>
  <c r="A240" i="1" s="1"/>
  <c r="J239" i="1" a="1"/>
  <c r="J239" i="1" s="1"/>
  <c r="B239" i="1"/>
  <c r="A239" i="1" s="1"/>
  <c r="J238" i="1" a="1"/>
  <c r="J238" i="1" s="1"/>
  <c r="B238" i="1"/>
  <c r="A238" i="1"/>
  <c r="J237" i="1" a="1"/>
  <c r="J237" i="1" s="1"/>
  <c r="B237" i="1"/>
  <c r="A237" i="1"/>
  <c r="J236" i="1" a="1"/>
  <c r="J236" i="1" s="1"/>
  <c r="B236" i="1"/>
  <c r="A236" i="1" s="1"/>
  <c r="J235" i="1" a="1"/>
  <c r="J235" i="1" s="1"/>
  <c r="B235" i="1"/>
  <c r="A235" i="1" s="1"/>
  <c r="J234" i="1"/>
  <c r="J234" i="1" a="1"/>
  <c r="B234" i="1"/>
  <c r="A234" i="1"/>
  <c r="J233" i="1" a="1"/>
  <c r="J233" i="1" s="1"/>
  <c r="B233" i="1"/>
  <c r="A233" i="1" s="1"/>
  <c r="J232" i="1" a="1"/>
  <c r="J232" i="1" s="1"/>
  <c r="B232" i="1"/>
  <c r="A232" i="1"/>
  <c r="J231" i="1" a="1"/>
  <c r="J231" i="1" s="1"/>
  <c r="B231" i="1"/>
  <c r="A231" i="1"/>
  <c r="J230" i="1"/>
  <c r="J230" i="1" a="1"/>
  <c r="B230" i="1"/>
  <c r="A230" i="1" s="1"/>
  <c r="J229" i="1" a="1"/>
  <c r="J229" i="1" s="1"/>
  <c r="B229" i="1"/>
  <c r="A229" i="1" s="1"/>
  <c r="J228" i="1"/>
  <c r="J228" i="1" a="1"/>
  <c r="B228" i="1"/>
  <c r="A228" i="1"/>
  <c r="J227" i="1" a="1"/>
  <c r="J227" i="1" s="1"/>
  <c r="B227" i="1"/>
  <c r="A227" i="1"/>
  <c r="J226" i="1" a="1"/>
  <c r="J226" i="1" s="1"/>
  <c r="B226" i="1"/>
  <c r="A226" i="1" s="1"/>
  <c r="J225" i="1" a="1"/>
  <c r="J225" i="1" s="1"/>
  <c r="B225" i="1"/>
  <c r="A225" i="1"/>
  <c r="J224" i="1"/>
  <c r="J224" i="1" a="1"/>
  <c r="B224" i="1"/>
  <c r="A224" i="1" s="1"/>
  <c r="J223" i="1" a="1"/>
  <c r="J223" i="1" s="1"/>
  <c r="B223" i="1"/>
  <c r="A223" i="1" s="1"/>
  <c r="J222" i="1" a="1"/>
  <c r="J222" i="1" s="1"/>
  <c r="B222" i="1"/>
  <c r="A222" i="1"/>
  <c r="J221" i="1" a="1"/>
  <c r="J221" i="1" s="1"/>
  <c r="B221" i="1"/>
  <c r="A221" i="1"/>
  <c r="J220" i="1" a="1"/>
  <c r="J220" i="1" s="1"/>
  <c r="B220" i="1"/>
  <c r="A220" i="1" s="1"/>
  <c r="J219" i="1" a="1"/>
  <c r="J219" i="1" s="1"/>
  <c r="B219" i="1"/>
  <c r="A219" i="1" s="1"/>
  <c r="J218" i="1"/>
  <c r="J218" i="1" a="1"/>
  <c r="B218" i="1"/>
  <c r="A218" i="1"/>
  <c r="J217" i="1" a="1"/>
  <c r="J217" i="1" s="1"/>
  <c r="B217" i="1"/>
  <c r="A217" i="1" s="1"/>
  <c r="J216" i="1" a="1"/>
  <c r="J216" i="1" s="1"/>
  <c r="B216" i="1"/>
  <c r="A216" i="1"/>
  <c r="J215" i="1" a="1"/>
  <c r="J215" i="1" s="1"/>
  <c r="I215" i="1"/>
  <c r="B215" i="1"/>
  <c r="A215" i="1" s="1"/>
  <c r="J214" i="1" a="1"/>
  <c r="J214" i="1" s="1"/>
  <c r="I214" i="1"/>
  <c r="B214" i="1"/>
  <c r="A214" i="1"/>
  <c r="J213" i="1" a="1"/>
  <c r="J213" i="1" s="1"/>
  <c r="I213" i="1"/>
  <c r="B213" i="1"/>
  <c r="A213" i="1"/>
  <c r="J212" i="1"/>
  <c r="J212" i="1" a="1"/>
  <c r="B212" i="1"/>
  <c r="A212" i="1" s="1"/>
  <c r="J211" i="1"/>
  <c r="J211" i="1" a="1"/>
  <c r="B211" i="1"/>
  <c r="A211" i="1"/>
  <c r="J210" i="1"/>
  <c r="J210" i="1" a="1"/>
  <c r="B210" i="1"/>
  <c r="A210" i="1" s="1"/>
  <c r="J209" i="1"/>
  <c r="J209" i="1" a="1"/>
  <c r="B209" i="1"/>
  <c r="A209" i="1"/>
  <c r="J208" i="1"/>
  <c r="J208" i="1" a="1"/>
  <c r="B208" i="1"/>
  <c r="A208" i="1" s="1"/>
  <c r="J207" i="1"/>
  <c r="J207" i="1" a="1"/>
  <c r="B207" i="1"/>
  <c r="A207" i="1"/>
  <c r="J206" i="1" a="1"/>
  <c r="J206" i="1" s="1"/>
  <c r="B206" i="1"/>
  <c r="A206" i="1" s="1"/>
  <c r="J205" i="1"/>
  <c r="J205" i="1" a="1"/>
  <c r="B205" i="1"/>
  <c r="A205" i="1"/>
  <c r="J204" i="1" a="1"/>
  <c r="J204" i="1" s="1"/>
  <c r="B204" i="1"/>
  <c r="A204" i="1" s="1"/>
  <c r="J203" i="1"/>
  <c r="J203" i="1" a="1"/>
  <c r="B203" i="1"/>
  <c r="A203" i="1"/>
  <c r="J202" i="1" a="1"/>
  <c r="J202" i="1" s="1"/>
  <c r="B202" i="1"/>
  <c r="A202" i="1" s="1"/>
  <c r="J201" i="1"/>
  <c r="J201" i="1" a="1"/>
  <c r="B201" i="1"/>
  <c r="A201" i="1"/>
  <c r="J200" i="1" a="1"/>
  <c r="J200" i="1" s="1"/>
  <c r="B200" i="1"/>
  <c r="A200" i="1" s="1"/>
  <c r="J199" i="1"/>
  <c r="J199" i="1" a="1"/>
  <c r="B199" i="1"/>
  <c r="A199" i="1"/>
  <c r="J198" i="1" a="1"/>
  <c r="J198" i="1" s="1"/>
  <c r="B198" i="1"/>
  <c r="A198" i="1" s="1"/>
  <c r="J197" i="1"/>
  <c r="J197" i="1" a="1"/>
  <c r="B197" i="1"/>
  <c r="A197" i="1"/>
  <c r="J196" i="1" a="1"/>
  <c r="J196" i="1" s="1"/>
  <c r="B196" i="1"/>
  <c r="A196" i="1" s="1"/>
  <c r="J195" i="1"/>
  <c r="J195" i="1" a="1"/>
  <c r="B195" i="1"/>
  <c r="A195" i="1"/>
  <c r="J194" i="1" a="1"/>
  <c r="J194" i="1" s="1"/>
  <c r="B194" i="1"/>
  <c r="A194" i="1" s="1"/>
  <c r="J193" i="1"/>
  <c r="J193" i="1" a="1"/>
  <c r="B193" i="1"/>
  <c r="A193" i="1"/>
  <c r="J192" i="1" a="1"/>
  <c r="J192" i="1" s="1"/>
  <c r="B192" i="1"/>
  <c r="A192" i="1" s="1"/>
  <c r="J191" i="1"/>
  <c r="J191" i="1" a="1"/>
  <c r="B191" i="1"/>
  <c r="A191" i="1"/>
  <c r="J190" i="1" a="1"/>
  <c r="J190" i="1" s="1"/>
  <c r="B190" i="1"/>
  <c r="A190" i="1" s="1"/>
  <c r="J189" i="1"/>
  <c r="J189" i="1" a="1"/>
  <c r="B189" i="1"/>
  <c r="A189" i="1"/>
  <c r="J188" i="1" a="1"/>
  <c r="J188" i="1" s="1"/>
  <c r="B188" i="1"/>
  <c r="A188" i="1" s="1"/>
  <c r="J187" i="1"/>
  <c r="J187" i="1" a="1"/>
  <c r="B187" i="1"/>
  <c r="A187" i="1"/>
  <c r="J186" i="1" a="1"/>
  <c r="J186" i="1" s="1"/>
  <c r="B186" i="1"/>
  <c r="A186" i="1" s="1"/>
  <c r="J185" i="1"/>
  <c r="J185" i="1" a="1"/>
  <c r="B185" i="1"/>
  <c r="A185" i="1"/>
  <c r="J184" i="1" a="1"/>
  <c r="J184" i="1" s="1"/>
  <c r="B184" i="1"/>
  <c r="A184" i="1" s="1"/>
  <c r="J183" i="1"/>
  <c r="J183" i="1" a="1"/>
  <c r="B183" i="1"/>
  <c r="A183" i="1"/>
  <c r="J182" i="1" a="1"/>
  <c r="J182" i="1" s="1"/>
  <c r="B182" i="1"/>
  <c r="A182" i="1" s="1"/>
  <c r="J181" i="1"/>
  <c r="J181" i="1" a="1"/>
  <c r="B181" i="1"/>
  <c r="A181" i="1"/>
  <c r="J180" i="1" a="1"/>
  <c r="J180" i="1" s="1"/>
  <c r="B180" i="1"/>
  <c r="A180" i="1" s="1"/>
  <c r="J179" i="1"/>
  <c r="J179" i="1" a="1"/>
  <c r="B179" i="1"/>
  <c r="A179" i="1"/>
  <c r="J178" i="1" a="1"/>
  <c r="J178" i="1" s="1"/>
  <c r="B178" i="1"/>
  <c r="A178" i="1" s="1"/>
  <c r="J177" i="1"/>
  <c r="J177" i="1" a="1"/>
  <c r="B177" i="1"/>
  <c r="A177" i="1"/>
  <c r="J176" i="1" a="1"/>
  <c r="J176" i="1" s="1"/>
  <c r="B176" i="1"/>
  <c r="A176" i="1" s="1"/>
  <c r="J175" i="1"/>
  <c r="J175" i="1" a="1"/>
  <c r="I175" i="1"/>
  <c r="B175" i="1"/>
  <c r="A175" i="1" s="1"/>
  <c r="J174" i="1" a="1"/>
  <c r="J174" i="1" s="1"/>
  <c r="B174" i="1"/>
  <c r="A174" i="1"/>
  <c r="J173" i="1"/>
  <c r="J173" i="1" a="1"/>
  <c r="B173" i="1"/>
  <c r="A173" i="1" s="1"/>
  <c r="J172" i="1" a="1"/>
  <c r="J172" i="1" s="1"/>
  <c r="I172" i="1"/>
  <c r="B172" i="1"/>
  <c r="A172" i="1" s="1"/>
  <c r="J171" i="1" a="1"/>
  <c r="J171" i="1" s="1"/>
  <c r="B171" i="1"/>
  <c r="A171" i="1"/>
  <c r="J170" i="1"/>
  <c r="J170" i="1" a="1"/>
  <c r="B170" i="1"/>
  <c r="A170" i="1" s="1"/>
  <c r="J169" i="1" a="1"/>
  <c r="J169" i="1" s="1"/>
  <c r="B169" i="1"/>
  <c r="A169" i="1"/>
  <c r="I168" i="1"/>
  <c r="J168" i="1" s="1" a="1"/>
  <c r="J168" i="1" s="1"/>
  <c r="B168" i="1"/>
  <c r="A168" i="1" s="1"/>
  <c r="J167" i="1"/>
  <c r="J167" i="1" a="1"/>
  <c r="B167" i="1"/>
  <c r="A167" i="1"/>
  <c r="J166" i="1" a="1"/>
  <c r="J166" i="1" s="1"/>
  <c r="B166" i="1"/>
  <c r="A166" i="1" s="1"/>
  <c r="J165" i="1"/>
  <c r="J165" i="1" a="1"/>
  <c r="B165" i="1"/>
  <c r="A165" i="1"/>
  <c r="J164" i="1" a="1"/>
  <c r="J164" i="1" s="1"/>
  <c r="B164" i="1"/>
  <c r="A164" i="1" s="1"/>
  <c r="J163" i="1"/>
  <c r="J163" i="1" a="1"/>
  <c r="B163" i="1"/>
  <c r="A163" i="1"/>
  <c r="J162" i="1" a="1"/>
  <c r="J162" i="1" s="1"/>
  <c r="B162" i="1"/>
  <c r="A162" i="1" s="1"/>
  <c r="J161" i="1"/>
  <c r="J161" i="1" a="1"/>
  <c r="B161" i="1"/>
  <c r="A161" i="1"/>
  <c r="J160" i="1" a="1"/>
  <c r="J160" i="1" s="1"/>
  <c r="B160" i="1"/>
  <c r="A160" i="1" s="1"/>
  <c r="J159" i="1"/>
  <c r="J159" i="1" a="1"/>
  <c r="B159" i="1"/>
  <c r="A159" i="1"/>
  <c r="J158" i="1" a="1"/>
  <c r="J158" i="1" s="1"/>
  <c r="B158" i="1"/>
  <c r="A158" i="1" s="1"/>
  <c r="J157" i="1"/>
  <c r="J157" i="1" a="1"/>
  <c r="B157" i="1"/>
  <c r="A157" i="1"/>
  <c r="J156" i="1" a="1"/>
  <c r="J156" i="1" s="1"/>
  <c r="B156" i="1"/>
  <c r="A156" i="1" s="1"/>
  <c r="J155" i="1"/>
  <c r="J155" i="1" a="1"/>
  <c r="B155" i="1"/>
  <c r="A155" i="1"/>
  <c r="J154" i="1" a="1"/>
  <c r="J154" i="1" s="1"/>
  <c r="B154" i="1"/>
  <c r="A154" i="1" s="1"/>
  <c r="J153" i="1"/>
  <c r="J153" i="1" a="1"/>
  <c r="B153" i="1"/>
  <c r="A153" i="1"/>
  <c r="J152" i="1" a="1"/>
  <c r="J152" i="1" s="1"/>
  <c r="B152" i="1"/>
  <c r="A152" i="1" s="1"/>
  <c r="J151" i="1"/>
  <c r="J151" i="1" a="1"/>
  <c r="B151" i="1"/>
  <c r="A151" i="1"/>
  <c r="J150" i="1" a="1"/>
  <c r="J150" i="1" s="1"/>
  <c r="B150" i="1"/>
  <c r="A150" i="1" s="1"/>
  <c r="J149" i="1"/>
  <c r="J149" i="1" a="1"/>
  <c r="B149" i="1"/>
  <c r="A149" i="1"/>
  <c r="J148" i="1" a="1"/>
  <c r="J148" i="1" s="1"/>
  <c r="B148" i="1"/>
  <c r="A148" i="1" s="1"/>
  <c r="J147" i="1"/>
  <c r="J147" i="1" a="1"/>
  <c r="B147" i="1"/>
  <c r="A147" i="1"/>
  <c r="J146" i="1" a="1"/>
  <c r="J146" i="1" s="1"/>
  <c r="B146" i="1"/>
  <c r="A146" i="1" s="1"/>
  <c r="J145" i="1"/>
  <c r="J145" i="1" a="1"/>
  <c r="B145" i="1"/>
  <c r="A145" i="1"/>
  <c r="J144" i="1" a="1"/>
  <c r="J144" i="1" s="1"/>
  <c r="B144" i="1"/>
  <c r="A144" i="1" s="1"/>
  <c r="J143" i="1"/>
  <c r="J143" i="1" a="1"/>
  <c r="B143" i="1"/>
  <c r="A143" i="1"/>
  <c r="J142" i="1" a="1"/>
  <c r="J142" i="1" s="1"/>
  <c r="B142" i="1"/>
  <c r="A142" i="1" s="1"/>
  <c r="J141" i="1"/>
  <c r="J141" i="1" a="1"/>
  <c r="B141" i="1"/>
  <c r="A141" i="1"/>
  <c r="J140" i="1" a="1"/>
  <c r="J140" i="1" s="1"/>
  <c r="B140" i="1"/>
  <c r="A140" i="1" s="1"/>
  <c r="J139" i="1"/>
  <c r="J139" i="1" a="1"/>
  <c r="B139" i="1"/>
  <c r="A139" i="1"/>
  <c r="J138" i="1" a="1"/>
  <c r="J138" i="1" s="1"/>
  <c r="B138" i="1"/>
  <c r="A138" i="1" s="1"/>
  <c r="J137" i="1"/>
  <c r="J137" i="1" a="1"/>
  <c r="B137" i="1"/>
  <c r="A137" i="1"/>
  <c r="J136" i="1" a="1"/>
  <c r="J136" i="1" s="1"/>
  <c r="B136" i="1"/>
  <c r="A136" i="1" s="1"/>
  <c r="J135" i="1"/>
  <c r="J135" i="1" a="1"/>
  <c r="B135" i="1"/>
  <c r="A135" i="1"/>
  <c r="J134" i="1" a="1"/>
  <c r="J134" i="1" s="1"/>
  <c r="B134" i="1"/>
  <c r="A134" i="1" s="1"/>
  <c r="J133" i="1"/>
  <c r="J133" i="1" a="1"/>
  <c r="B133" i="1"/>
  <c r="A133" i="1"/>
  <c r="J132" i="1" a="1"/>
  <c r="J132" i="1" s="1"/>
  <c r="B132" i="1"/>
  <c r="A132" i="1" s="1"/>
  <c r="J131" i="1"/>
  <c r="J131" i="1" a="1"/>
  <c r="B131" i="1"/>
  <c r="A131" i="1"/>
  <c r="J130" i="1" a="1"/>
  <c r="J130" i="1" s="1"/>
  <c r="B130" i="1"/>
  <c r="A130" i="1" s="1"/>
  <c r="J129" i="1"/>
  <c r="J129" i="1" a="1"/>
  <c r="B129" i="1"/>
  <c r="A129" i="1"/>
  <c r="J128" i="1" a="1"/>
  <c r="J128" i="1" s="1"/>
  <c r="B128" i="1"/>
  <c r="A128" i="1" s="1"/>
  <c r="J127" i="1"/>
  <c r="J127" i="1" a="1"/>
  <c r="B127" i="1"/>
  <c r="A127" i="1"/>
  <c r="J126" i="1" a="1"/>
  <c r="J126" i="1" s="1"/>
  <c r="I126" i="1"/>
  <c r="B126" i="1"/>
  <c r="A126" i="1"/>
  <c r="J125" i="1" a="1"/>
  <c r="J125" i="1" s="1"/>
  <c r="B125" i="1"/>
  <c r="A125" i="1" s="1"/>
  <c r="J124" i="1"/>
  <c r="J124" i="1" a="1"/>
  <c r="B124" i="1"/>
  <c r="A124" i="1"/>
  <c r="J123" i="1" a="1"/>
  <c r="J123" i="1" s="1"/>
  <c r="B123" i="1"/>
  <c r="A123" i="1" s="1"/>
  <c r="J122" i="1"/>
  <c r="J122" i="1" a="1"/>
  <c r="B122" i="1"/>
  <c r="A122" i="1"/>
  <c r="J121" i="1" a="1"/>
  <c r="J121" i="1" s="1"/>
  <c r="B121" i="1"/>
  <c r="A121" i="1" s="1"/>
  <c r="J120" i="1"/>
  <c r="J120" i="1" a="1"/>
  <c r="I120" i="1"/>
  <c r="B120" i="1"/>
  <c r="A120" i="1" s="1"/>
  <c r="J119" i="1" a="1"/>
  <c r="J119" i="1" s="1"/>
  <c r="B119" i="1"/>
  <c r="A119" i="1"/>
  <c r="J118" i="1"/>
  <c r="J118" i="1" a="1"/>
  <c r="B118" i="1"/>
  <c r="A118" i="1" s="1"/>
  <c r="J117" i="1" a="1"/>
  <c r="J117" i="1" s="1"/>
  <c r="B117" i="1"/>
  <c r="A117" i="1"/>
  <c r="J116" i="1"/>
  <c r="J116" i="1" a="1"/>
  <c r="B116" i="1"/>
  <c r="A116" i="1" s="1"/>
  <c r="J115" i="1" a="1"/>
  <c r="J115" i="1" s="1"/>
  <c r="B115" i="1"/>
  <c r="A115" i="1"/>
  <c r="J114" i="1"/>
  <c r="J114" i="1" a="1"/>
  <c r="B114" i="1"/>
  <c r="A114" i="1" s="1"/>
  <c r="J113" i="1" a="1"/>
  <c r="J113" i="1" s="1"/>
  <c r="B113" i="1"/>
  <c r="A113" i="1"/>
  <c r="J112" i="1"/>
  <c r="J112" i="1" a="1"/>
  <c r="B112" i="1"/>
  <c r="A112" i="1" s="1"/>
  <c r="J111" i="1" a="1"/>
  <c r="J111" i="1" s="1"/>
  <c r="B111" i="1"/>
  <c r="A111" i="1"/>
  <c r="I110" i="1"/>
  <c r="J110" i="1" s="1" a="1"/>
  <c r="J110" i="1" s="1"/>
  <c r="B110" i="1"/>
  <c r="A110" i="1"/>
  <c r="J109" i="1"/>
  <c r="J109" i="1" a="1"/>
  <c r="B109" i="1"/>
  <c r="A109" i="1" s="1"/>
  <c r="J108" i="1" a="1"/>
  <c r="J108" i="1" s="1"/>
  <c r="B108" i="1"/>
  <c r="A108" i="1"/>
  <c r="J107" i="1"/>
  <c r="J107" i="1" a="1"/>
  <c r="B107" i="1"/>
  <c r="A107" i="1" s="1"/>
  <c r="J106" i="1" a="1"/>
  <c r="J106" i="1" s="1"/>
  <c r="B106" i="1"/>
  <c r="A106" i="1"/>
  <c r="J105" i="1"/>
  <c r="J105" i="1" a="1"/>
  <c r="B105" i="1"/>
  <c r="A105" i="1" s="1"/>
  <c r="J104" i="1" a="1"/>
  <c r="J104" i="1" s="1"/>
  <c r="B104" i="1"/>
  <c r="A104" i="1"/>
  <c r="J103" i="1"/>
  <c r="J103" i="1" a="1"/>
  <c r="B103" i="1"/>
  <c r="A103" i="1" s="1"/>
  <c r="J102" i="1" a="1"/>
  <c r="J102" i="1" s="1"/>
  <c r="B102" i="1"/>
  <c r="A102" i="1"/>
  <c r="J101" i="1"/>
  <c r="J101" i="1" a="1"/>
  <c r="B101" i="1"/>
  <c r="A101" i="1" s="1"/>
  <c r="J100" i="1" a="1"/>
  <c r="J100" i="1" s="1"/>
  <c r="B100" i="1"/>
  <c r="A100" i="1"/>
  <c r="J99" i="1"/>
  <c r="J99" i="1" a="1"/>
  <c r="B99" i="1"/>
  <c r="A99" i="1" s="1"/>
  <c r="J98" i="1" a="1"/>
  <c r="J98" i="1" s="1"/>
  <c r="B98" i="1"/>
  <c r="A98" i="1"/>
  <c r="J97" i="1"/>
  <c r="J97" i="1" a="1"/>
  <c r="B97" i="1"/>
  <c r="A97" i="1" s="1"/>
  <c r="J96" i="1" a="1"/>
  <c r="J96" i="1" s="1"/>
  <c r="B96" i="1"/>
  <c r="A96" i="1"/>
  <c r="J95" i="1"/>
  <c r="J95" i="1" a="1"/>
  <c r="B95" i="1"/>
  <c r="A95" i="1" s="1"/>
  <c r="J94" i="1" a="1"/>
  <c r="J94" i="1" s="1"/>
  <c r="B94" i="1"/>
  <c r="A94" i="1"/>
  <c r="J93" i="1"/>
  <c r="J93" i="1" a="1"/>
  <c r="B93" i="1"/>
  <c r="A93" i="1" s="1"/>
  <c r="J92" i="1" a="1"/>
  <c r="J92" i="1" s="1"/>
  <c r="B92" i="1"/>
  <c r="A92" i="1"/>
  <c r="J91" i="1"/>
  <c r="J91" i="1" a="1"/>
  <c r="B91" i="1"/>
  <c r="A91" i="1" s="1"/>
  <c r="J90" i="1" a="1"/>
  <c r="J90" i="1" s="1"/>
  <c r="B90" i="1"/>
  <c r="A90" i="1"/>
  <c r="J89" i="1"/>
  <c r="J89" i="1" a="1"/>
  <c r="B89" i="1"/>
  <c r="A89" i="1" s="1"/>
  <c r="J88" i="1" a="1"/>
  <c r="J88" i="1" s="1"/>
  <c r="I88" i="1"/>
  <c r="B88" i="1"/>
  <c r="A88" i="1"/>
  <c r="J87" i="1" a="1"/>
  <c r="J87" i="1" s="1"/>
  <c r="I87" i="1"/>
  <c r="B87" i="1"/>
  <c r="A87" i="1"/>
  <c r="J86" i="1" a="1"/>
  <c r="J86" i="1" s="1"/>
  <c r="B86" i="1"/>
  <c r="A86" i="1" s="1"/>
  <c r="J85" i="1"/>
  <c r="J85" i="1" a="1"/>
  <c r="I85" i="1"/>
  <c r="B85" i="1"/>
  <c r="A85" i="1" s="1"/>
  <c r="J84" i="1" a="1"/>
  <c r="J84" i="1" s="1"/>
  <c r="B84" i="1"/>
  <c r="A84" i="1"/>
  <c r="J83" i="1"/>
  <c r="J83" i="1" a="1"/>
  <c r="B83" i="1"/>
  <c r="A83" i="1" s="1"/>
  <c r="J82" i="1" a="1"/>
  <c r="J82" i="1" s="1"/>
  <c r="B82" i="1"/>
  <c r="A82" i="1"/>
  <c r="J81" i="1"/>
  <c r="J81" i="1" a="1"/>
  <c r="B81" i="1"/>
  <c r="A81" i="1" s="1"/>
  <c r="J80" i="1" a="1"/>
  <c r="J80" i="1" s="1"/>
  <c r="B80" i="1"/>
  <c r="A80" i="1"/>
  <c r="I79" i="1"/>
  <c r="J79" i="1" s="1" a="1"/>
  <c r="J79" i="1" s="1"/>
  <c r="B79" i="1"/>
  <c r="A79" i="1"/>
  <c r="J78" i="1"/>
  <c r="J78" i="1" a="1"/>
  <c r="B78" i="1"/>
  <c r="A78" i="1" s="1"/>
  <c r="J77" i="1" a="1"/>
  <c r="J77" i="1" s="1"/>
  <c r="B77" i="1"/>
  <c r="A77" i="1"/>
  <c r="J76" i="1"/>
  <c r="J76" i="1" a="1"/>
  <c r="B76" i="1"/>
  <c r="A76" i="1" s="1"/>
  <c r="J75" i="1" a="1"/>
  <c r="J75" i="1" s="1"/>
  <c r="B75" i="1"/>
  <c r="A75" i="1"/>
  <c r="J74" i="1"/>
  <c r="J74" i="1" a="1"/>
  <c r="B74" i="1"/>
  <c r="A74" i="1" s="1"/>
  <c r="J73" i="1" a="1"/>
  <c r="J73" i="1" s="1"/>
  <c r="B73" i="1"/>
  <c r="A73" i="1"/>
  <c r="J72" i="1"/>
  <c r="J72" i="1" a="1"/>
  <c r="B72" i="1"/>
  <c r="A72" i="1" s="1"/>
  <c r="J71" i="1" a="1"/>
  <c r="J71" i="1" s="1"/>
  <c r="B71" i="1"/>
  <c r="A71" i="1"/>
  <c r="J70" i="1"/>
  <c r="J70" i="1" a="1"/>
  <c r="B70" i="1"/>
  <c r="A70" i="1" s="1"/>
  <c r="J69" i="1" a="1"/>
  <c r="J69" i="1" s="1"/>
  <c r="B69" i="1"/>
  <c r="A69" i="1"/>
  <c r="J68" i="1"/>
  <c r="J68" i="1" a="1"/>
  <c r="B68" i="1"/>
  <c r="A68" i="1" s="1"/>
  <c r="J67" i="1" a="1"/>
  <c r="J67" i="1" s="1"/>
  <c r="B67" i="1"/>
  <c r="A67" i="1"/>
  <c r="J66" i="1"/>
  <c r="J66" i="1" a="1"/>
  <c r="B66" i="1"/>
  <c r="A66" i="1" s="1"/>
  <c r="J65" i="1" a="1"/>
  <c r="J65" i="1" s="1"/>
  <c r="B65" i="1"/>
  <c r="A65" i="1"/>
  <c r="J64" i="1"/>
  <c r="J64" i="1" a="1"/>
  <c r="B64" i="1"/>
  <c r="A64" i="1" s="1"/>
  <c r="J63" i="1" a="1"/>
  <c r="J63" i="1" s="1"/>
  <c r="B63" i="1"/>
  <c r="A63" i="1"/>
  <c r="J62" i="1"/>
  <c r="J62" i="1" a="1"/>
  <c r="B62" i="1"/>
  <c r="A62" i="1" s="1"/>
  <c r="J61" i="1" a="1"/>
  <c r="J61" i="1" s="1"/>
  <c r="I61" i="1"/>
  <c r="B61" i="1"/>
  <c r="A61" i="1"/>
  <c r="J60" i="1" a="1"/>
  <c r="J60" i="1" s="1"/>
  <c r="B60" i="1"/>
  <c r="A60" i="1" s="1"/>
  <c r="J59" i="1"/>
  <c r="J59" i="1" a="1"/>
  <c r="B59" i="1"/>
  <c r="A59" i="1"/>
  <c r="J58" i="1" a="1"/>
  <c r="J58" i="1" s="1"/>
  <c r="B58" i="1"/>
  <c r="A58" i="1" s="1"/>
  <c r="J57" i="1"/>
  <c r="J57" i="1" a="1"/>
  <c r="B57" i="1"/>
  <c r="A57" i="1"/>
  <c r="J56" i="1" a="1"/>
  <c r="J56" i="1" s="1"/>
  <c r="B56" i="1"/>
  <c r="A56" i="1" s="1"/>
  <c r="J55" i="1"/>
  <c r="J55" i="1" a="1"/>
  <c r="B55" i="1"/>
  <c r="A55" i="1"/>
  <c r="J54" i="1" a="1"/>
  <c r="J54" i="1" s="1"/>
  <c r="B54" i="1"/>
  <c r="A54" i="1" s="1"/>
  <c r="J53" i="1"/>
  <c r="J53" i="1" a="1"/>
  <c r="B53" i="1"/>
  <c r="A53" i="1"/>
  <c r="J52" i="1" a="1"/>
  <c r="J52" i="1" s="1"/>
  <c r="B52" i="1"/>
  <c r="A52" i="1" s="1"/>
  <c r="I51" i="1"/>
  <c r="J51" i="1" s="1" a="1"/>
  <c r="J51" i="1" s="1"/>
  <c r="B51" i="1"/>
  <c r="A51" i="1" s="1"/>
  <c r="J50" i="1"/>
  <c r="J50" i="1" a="1"/>
  <c r="B50" i="1"/>
  <c r="A50" i="1"/>
  <c r="J49" i="1" a="1"/>
  <c r="J49" i="1" s="1"/>
  <c r="B49" i="1"/>
  <c r="A49" i="1" s="1"/>
  <c r="J48" i="1"/>
  <c r="J48" i="1" a="1"/>
  <c r="B48" i="1"/>
  <c r="A48" i="1"/>
  <c r="J47" i="1" a="1"/>
  <c r="J47" i="1" s="1"/>
  <c r="B47" i="1"/>
  <c r="A47" i="1" s="1"/>
  <c r="J46" i="1"/>
  <c r="J46" i="1" a="1"/>
  <c r="B46" i="1"/>
  <c r="A46" i="1"/>
  <c r="J45" i="1" a="1"/>
  <c r="J45" i="1" s="1"/>
  <c r="B45" i="1"/>
  <c r="A45" i="1" s="1"/>
  <c r="J44" i="1"/>
  <c r="J44" i="1" a="1"/>
  <c r="B44" i="1"/>
  <c r="A44" i="1"/>
  <c r="J43" i="1" a="1"/>
  <c r="J43" i="1" s="1"/>
  <c r="B43" i="1"/>
  <c r="A43" i="1" s="1"/>
  <c r="J42" i="1"/>
  <c r="J42" i="1" a="1"/>
  <c r="B42" i="1"/>
  <c r="A42" i="1"/>
  <c r="J41" i="1" a="1"/>
  <c r="J41" i="1" s="1"/>
  <c r="B41" i="1"/>
  <c r="A41" i="1" s="1"/>
  <c r="J40" i="1"/>
  <c r="J40" i="1" a="1"/>
  <c r="B40" i="1"/>
  <c r="A40" i="1"/>
  <c r="J39" i="1" a="1"/>
  <c r="J39" i="1" s="1"/>
  <c r="B39" i="1"/>
  <c r="A39" i="1" s="1"/>
  <c r="J38" i="1"/>
  <c r="J38" i="1" a="1"/>
  <c r="B38" i="1"/>
  <c r="A38" i="1"/>
  <c r="J37" i="1" a="1"/>
  <c r="J37" i="1" s="1"/>
  <c r="B37" i="1"/>
  <c r="A37" i="1" s="1"/>
  <c r="J36" i="1"/>
  <c r="J36" i="1" a="1"/>
  <c r="B36" i="1"/>
  <c r="A36" i="1"/>
  <c r="J35" i="1" a="1"/>
  <c r="J35" i="1" s="1"/>
  <c r="B35" i="1"/>
  <c r="A35" i="1" s="1"/>
  <c r="J34" i="1"/>
  <c r="J34" i="1" a="1"/>
  <c r="B34" i="1"/>
  <c r="A34" i="1"/>
  <c r="J33" i="1" a="1"/>
  <c r="J33" i="1" s="1"/>
  <c r="B33" i="1"/>
  <c r="A33" i="1" s="1"/>
  <c r="J32" i="1"/>
  <c r="J32" i="1" a="1"/>
  <c r="B32" i="1"/>
  <c r="A32" i="1"/>
  <c r="J31" i="1" a="1"/>
  <c r="J31" i="1" s="1"/>
  <c r="B31" i="1"/>
  <c r="A31" i="1" s="1"/>
  <c r="J30" i="1"/>
  <c r="J30" i="1" a="1"/>
  <c r="B30" i="1"/>
  <c r="A30" i="1"/>
  <c r="I29" i="1"/>
  <c r="J29" i="1" s="1" a="1"/>
  <c r="J29" i="1" s="1"/>
  <c r="B29" i="1"/>
  <c r="A29" i="1"/>
  <c r="J28" i="1"/>
  <c r="J28" i="1" a="1"/>
  <c r="B28" i="1"/>
  <c r="A28" i="1" s="1"/>
  <c r="J27" i="1" a="1"/>
  <c r="J27" i="1" s="1"/>
  <c r="I27" i="1"/>
  <c r="B27" i="1"/>
  <c r="A27" i="1" s="1"/>
  <c r="J26" i="1" a="1"/>
  <c r="J26" i="1" s="1"/>
  <c r="B26" i="1"/>
  <c r="A26" i="1"/>
  <c r="J25" i="1"/>
  <c r="J25" i="1" a="1"/>
  <c r="B25" i="1"/>
  <c r="A25" i="1" s="1"/>
  <c r="J24" i="1" a="1"/>
  <c r="J24" i="1" s="1"/>
  <c r="B24" i="1"/>
  <c r="A24" i="1"/>
  <c r="J23" i="1"/>
  <c r="J23" i="1" a="1"/>
  <c r="B23" i="1"/>
  <c r="A23" i="1" s="1"/>
  <c r="J22" i="1" a="1"/>
  <c r="J22" i="1" s="1"/>
  <c r="B22" i="1"/>
  <c r="A22" i="1"/>
  <c r="J21" i="1"/>
  <c r="J21" i="1" a="1"/>
  <c r="B21" i="1"/>
  <c r="A21" i="1" s="1"/>
  <c r="J20" i="1" a="1"/>
  <c r="J20" i="1" s="1"/>
  <c r="B20" i="1"/>
  <c r="A20" i="1"/>
  <c r="J19" i="1"/>
  <c r="J19" i="1" a="1"/>
  <c r="B19" i="1"/>
  <c r="A19" i="1" s="1"/>
  <c r="J18" i="1" a="1"/>
  <c r="J18" i="1" s="1"/>
  <c r="B18" i="1"/>
  <c r="A18" i="1"/>
  <c r="J17" i="1"/>
  <c r="J17" i="1" a="1"/>
  <c r="B17" i="1"/>
  <c r="A17" i="1" s="1"/>
  <c r="J16" i="1" a="1"/>
  <c r="J16" i="1" s="1"/>
  <c r="B16" i="1"/>
  <c r="A16" i="1"/>
  <c r="J15" i="1"/>
  <c r="J15" i="1" a="1"/>
  <c r="B15" i="1"/>
  <c r="A15" i="1" s="1"/>
  <c r="J14" i="1" a="1"/>
  <c r="J14" i="1" s="1"/>
  <c r="B14" i="1"/>
  <c r="A14" i="1"/>
  <c r="J13" i="1"/>
  <c r="J13" i="1" a="1"/>
  <c r="B13" i="1"/>
  <c r="A13" i="1" s="1"/>
  <c r="J12" i="1" a="1"/>
  <c r="J12" i="1" s="1"/>
  <c r="B12" i="1"/>
  <c r="A12" i="1"/>
  <c r="J11" i="1"/>
  <c r="J11" i="1" a="1"/>
  <c r="B11" i="1"/>
  <c r="A11" i="1" s="1"/>
  <c r="J10" i="1" a="1"/>
  <c r="J10" i="1" s="1"/>
  <c r="B10" i="1"/>
  <c r="A10" i="1"/>
  <c r="I9" i="1"/>
  <c r="J9" i="1" s="1" a="1"/>
  <c r="J9" i="1" s="1"/>
  <c r="B9" i="1"/>
  <c r="A9" i="1" s="1"/>
  <c r="J8" i="1"/>
  <c r="J8" i="1" a="1"/>
  <c r="B8" i="1"/>
  <c r="A8" i="1"/>
  <c r="J7" i="1" a="1"/>
  <c r="J7" i="1" s="1"/>
  <c r="B7" i="1"/>
  <c r="A7" i="1" s="1"/>
  <c r="J6" i="1"/>
  <c r="J6" i="1" a="1"/>
  <c r="B6" i="1"/>
  <c r="A6" i="1"/>
  <c r="J5" i="1" a="1"/>
  <c r="J5" i="1" s="1"/>
  <c r="B5" i="1"/>
  <c r="A5" i="1" s="1"/>
  <c r="J4" i="1"/>
  <c r="J4" i="1" a="1"/>
  <c r="B4" i="1"/>
  <c r="A4" i="1"/>
  <c r="J3" i="1" a="1"/>
  <c r="J3" i="1" s="1"/>
  <c r="B3" i="1"/>
  <c r="A3" i="1" s="1"/>
  <c r="J2" i="1"/>
  <c r="J2" i="1" a="1"/>
  <c r="B2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<sst xmlns="http://schemas.openxmlformats.org/spreadsheetml/2006/main" count="1137" uniqueCount="26">
  <si>
    <t>OBJECTID</t>
  </si>
  <si>
    <t>Fed_number</t>
  </si>
  <si>
    <t>Riding Name</t>
  </si>
  <si>
    <t>Rejected Ballots</t>
  </si>
  <si>
    <t>Valid Votes</t>
  </si>
  <si>
    <t>Total votes</t>
  </si>
  <si>
    <t>Electors</t>
  </si>
  <si>
    <t>Color Schema</t>
  </si>
  <si>
    <t>Vancouver Centre/Vancouver-Centre</t>
  </si>
  <si>
    <t>Vancouver East/Vancouver-Est</t>
  </si>
  <si>
    <t xml:space="preserve"> 32A</t>
  </si>
  <si>
    <t xml:space="preserve"> 32B</t>
  </si>
  <si>
    <t>Vancouver Granville/Vancouver Granville</t>
  </si>
  <si>
    <t xml:space="preserve"> 111A</t>
  </si>
  <si>
    <t xml:space="preserve"> 111B</t>
  </si>
  <si>
    <t>Vancouver Kingsway/Vancouver Kingsway</t>
  </si>
  <si>
    <t>Vancouver Quadra/Vancouver Quadra</t>
  </si>
  <si>
    <t xml:space="preserve"> 1A</t>
  </si>
  <si>
    <t xml:space="preserve"> 53A</t>
  </si>
  <si>
    <t>Vancouver South/Vancouver-Sud</t>
  </si>
  <si>
    <t xml:space="preserve"> 50A</t>
  </si>
  <si>
    <t xml:space="preserve"> 50B</t>
  </si>
  <si>
    <t xml:space="preserve"> 167A</t>
  </si>
  <si>
    <t xml:space="preserve"> 167B</t>
  </si>
  <si>
    <t>percentage</t>
  </si>
  <si>
    <t>PD_NUM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</si>
</sst>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ya/Downloads/PartialDataSets/CEI-FederalElections/Election%2044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deral_2021"/>
      <sheetName val="Sheet2"/>
      <sheetName val="lookuptable"/>
      <sheetName val="mergelist"/>
    </sheetNames>
    <sheetDataSet>
      <sheetData sheetId="0" refreshError="1"/>
      <sheetData sheetId="1" refreshError="1"/>
      <sheetData sheetId="2" refreshError="1">
        <row r="1">
          <cell r="A1" t="str">
            <v>Vancouver Centre/Vancouver-Centre</v>
          </cell>
          <cell r="B1">
            <v>59034</v>
          </cell>
        </row>
        <row r="2">
          <cell r="A2" t="str">
            <v>Vancouver East/Vancouver-Est</v>
          </cell>
          <cell r="B2">
            <v>59035</v>
          </cell>
        </row>
        <row r="3">
          <cell r="A3" t="str">
            <v>Vancouver Granville/Vancouver Granville</v>
          </cell>
          <cell r="B3">
            <v>59036</v>
          </cell>
        </row>
        <row r="4">
          <cell r="A4" t="str">
            <v>North Island–Powell River*</v>
          </cell>
          <cell r="B4">
            <v>59037</v>
          </cell>
        </row>
        <row r="5">
          <cell r="A5" t="str">
            <v>Vancouver Kingsway/Vancouver Kingsway</v>
          </cell>
          <cell r="B5">
            <v>59038</v>
          </cell>
        </row>
        <row r="6">
          <cell r="A6" t="str">
            <v>Vancouver Quadra/Vancouver Quadra</v>
          </cell>
          <cell r="B6">
            <v>59039</v>
          </cell>
        </row>
        <row r="7">
          <cell r="A7" t="str">
            <v>Vancouver South/Vancouver-Sud</v>
          </cell>
          <cell r="B7">
            <v>59040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1665-DC44-4DE3-B236-C5A99CA892CD}" name="Table1" displayName="Table1" ref="A1:J1290" totalsRowShown="0">
  <autoFilter ref="A1:J1290" xr:uid="{E1241665-DC44-4DE3-B236-C5A99CA892CD}"/>
  <tableColumns count="10">
    <tableColumn id="1" xr3:uid="{1E54E468-9337-49B8-966A-B678C082369E}" name="OBJECTID" dataDxfId="2">
      <calculatedColumnFormula>CONCATENATE(B2,"_",D2)</calculatedColumnFormula>
    </tableColumn>
    <tableColumn id="2" xr3:uid="{5FC8ACCB-3214-444F-9F74-77874A40DA11}" name="Fed_number">
      <calculatedColumnFormula>VLOOKUP(C2,[1]lookuptable!$A$1:$C$7,2,0)</calculatedColumnFormula>
    </tableColumn>
    <tableColumn id="3" xr3:uid="{66B8E6DB-B559-412F-BD51-B437094F166D}" name="Riding Name"/>
    <tableColumn id="4" xr3:uid="{FE49AB2A-29BC-48E8-B620-27D843F50DEE}" name="PD_NUM" dataDxfId="1"/>
    <tableColumn id="5" xr3:uid="{A7541BE5-E473-4F34-B1FB-4C7A79461FB4}" name="Rejected Ballots"/>
    <tableColumn id="6" xr3:uid="{8FAC8C9E-1BD2-41A0-9AE2-89F0D1AEE000}" name="Valid Votes"/>
    <tableColumn id="7" xr3:uid="{12A84C2E-F159-435D-8D07-DD43BB2DB23B}" name="Total votes"/>
    <tableColumn id="8" xr3:uid="{189CD981-A4A6-4E9E-9A98-1398E614703D}" name="Electors"/>
    <tableColumn id="9" xr3:uid="{F976C9BF-B570-4CCC-BE0E-DC9DBB9ADDB0}" name="percentage" dataDxfId="0"/>
    <tableColumn id="10" xr3:uid="{0C944FF6-F8CA-45AD-A59D-696055046ABD}" name="Color Schema">
      <calculatedColumnFormula>IFERROR(IF(I2&gt;=50,2,IF(I2&lt;=40,1,0)),"")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D58F-FF3C-477D-A452-4F8C4132D74B}">
  <dimension ref="A1:J1118"/>
  <sheetViews>
    <sheetView tabSelected="1" workbookViewId="0">
      <selection activeCell="L8" sqref="L8"/>
    </sheetView>
  </sheetViews>
  <sheetFormatPr defaultRowHeight="14.4" x14ac:dyDescent="0.3"/>
  <cols>
    <col min="1" max="1" width="11" customWidth="1"/>
    <col min="2" max="2" width="15.88671875" customWidth="1"/>
    <col min="3" max="3" width="38" bestFit="1" customWidth="1"/>
    <col min="4" max="4" width="22.88671875" style="1" customWidth="1"/>
    <col min="5" max="5" width="16.77734375" customWidth="1"/>
    <col min="6" max="6" width="12.77734375" customWidth="1"/>
    <col min="7" max="7" width="12.33203125" customWidth="1"/>
    <col min="8" max="8" width="9.77734375" customWidth="1"/>
    <col min="9" max="9" width="12" style="2" bestFit="1" customWidth="1"/>
    <col min="10" max="10" width="14.5546875" customWidth="1"/>
  </cols>
  <sheetData>
    <row r="1" spans="1:10" x14ac:dyDescent="0.3">
      <c r="A1" s="1" t="s">
        <v>0</v>
      </c>
      <c r="B1" t="s">
        <v>1</v>
      </c>
      <c r="C1" t="s">
        <v>2</v>
      </c>
      <c r="D1" s="1" t="s">
        <v>25</v>
      </c>
      <c r="E1" t="s">
        <v>3</v>
      </c>
      <c r="F1" t="s">
        <v>4</v>
      </c>
      <c r="G1" t="s">
        <v>5</v>
      </c>
      <c r="H1" t="s">
        <v>6</v>
      </c>
      <c r="I1" s="2" t="s">
        <v>24</v>
      </c>
      <c r="J1" t="s">
        <v>7</v>
      </c>
    </row>
    <row r="2" spans="1:10" x14ac:dyDescent="0.3">
      <c r="A2" t="str">
        <f t="shared" ref="A2:A65" si="0">CONCATENATE(B2,"_",D2)</f>
        <v>59034_1</v>
      </c>
      <c r="B2">
        <f>VLOOKUP(C2,[1]lookuptable!$A$1:$C$7,2,0)</f>
        <v>59034</v>
      </c>
      <c r="C2" t="s">
        <v>8</v>
      </c>
      <c r="D2" s="1">
        <v>1</v>
      </c>
      <c r="E2">
        <v>0</v>
      </c>
      <c r="F2">
        <v>123</v>
      </c>
      <c r="G2">
        <v>123</v>
      </c>
      <c r="H2">
        <v>406</v>
      </c>
      <c r="I2" s="2">
        <v>30.2955665</v>
      </c>
      <c r="J2" cm="1">
        <f t="array" ref="J2">IF(AND(I2&gt;=0,I2&lt;=20),0,IF(AND(I2&gt;20,I2&lt;=40),1, IF(AND(I2&gt;40,I2&lt;=60),2,IF(AND(I2&gt;60,I2&lt;=80),3, IF(AND(I2&gt;80,I2&lt;=100),4,”5”)))))</f>
        <v>1</v>
      </c>
    </row>
    <row r="3" spans="1:10" x14ac:dyDescent="0.3">
      <c r="A3" t="str">
        <f t="shared" si="0"/>
        <v>59034_2</v>
      </c>
      <c r="B3">
        <f>VLOOKUP(C3,[1]lookuptable!$A$1:$C$7,2,0)</f>
        <v>59034</v>
      </c>
      <c r="C3" t="s">
        <v>8</v>
      </c>
      <c r="D3" s="1">
        <v>2</v>
      </c>
      <c r="E3">
        <v>0</v>
      </c>
      <c r="F3">
        <v>158</v>
      </c>
      <c r="G3">
        <v>158</v>
      </c>
      <c r="H3">
        <v>465</v>
      </c>
      <c r="I3" s="2">
        <v>33.978494619999999</v>
      </c>
      <c r="J3" cm="1">
        <f t="array" ref="J3">IF(AND(I3&gt;=0,I3&lt;=20),0,IF(AND(I3&gt;20,I3&lt;=40),1, IF(AND(I3&gt;40,I3&lt;=60),2,IF(AND(I3&gt;60,I3&lt;=80),3, IF(AND(I3&gt;80,I3&lt;=100),4,”5”)))))</f>
        <v>1</v>
      </c>
    </row>
    <row r="4" spans="1:10" x14ac:dyDescent="0.3">
      <c r="A4" t="str">
        <f t="shared" si="0"/>
        <v>59034_3</v>
      </c>
      <c r="B4">
        <f>VLOOKUP(C4,[1]lookuptable!$A$1:$C$7,2,0)</f>
        <v>59034</v>
      </c>
      <c r="C4" t="s">
        <v>8</v>
      </c>
      <c r="D4" s="1">
        <v>3</v>
      </c>
      <c r="E4">
        <v>0</v>
      </c>
      <c r="F4">
        <v>139</v>
      </c>
      <c r="G4">
        <v>139</v>
      </c>
      <c r="H4">
        <v>509</v>
      </c>
      <c r="I4" s="2">
        <v>27.308447940000001</v>
      </c>
      <c r="J4" cm="1">
        <f t="array" ref="J4">IF(AND(I4&gt;=0,I4&lt;=20),0,IF(AND(I4&gt;20,I4&lt;=40),1, IF(AND(I4&gt;40,I4&lt;=60),2,IF(AND(I4&gt;60,I4&lt;=80),3, IF(AND(I4&gt;80,I4&lt;=100),4,”5”)))))</f>
        <v>1</v>
      </c>
    </row>
    <row r="5" spans="1:10" x14ac:dyDescent="0.3">
      <c r="A5" t="str">
        <f t="shared" si="0"/>
        <v>59034_4</v>
      </c>
      <c r="B5">
        <f>VLOOKUP(C5,[1]lookuptable!$A$1:$C$7,2,0)</f>
        <v>59034</v>
      </c>
      <c r="C5" t="s">
        <v>8</v>
      </c>
      <c r="D5" s="1">
        <v>4</v>
      </c>
      <c r="E5">
        <v>0</v>
      </c>
      <c r="F5">
        <v>88</v>
      </c>
      <c r="G5">
        <v>88</v>
      </c>
      <c r="H5">
        <v>392</v>
      </c>
      <c r="I5" s="2">
        <v>22.44897959</v>
      </c>
      <c r="J5" cm="1">
        <f t="array" ref="J5">IF(AND(I5&gt;=0,I5&lt;=20),0,IF(AND(I5&gt;20,I5&lt;=40),1, IF(AND(I5&gt;40,I5&lt;=60),2,IF(AND(I5&gt;60,I5&lt;=80),3, IF(AND(I5&gt;80,I5&lt;=100),4,”5”)))))</f>
        <v>1</v>
      </c>
    </row>
    <row r="6" spans="1:10" x14ac:dyDescent="0.3">
      <c r="A6" t="str">
        <f t="shared" si="0"/>
        <v>59034_5</v>
      </c>
      <c r="B6">
        <f>VLOOKUP(C6,[1]lookuptable!$A$1:$C$7,2,0)</f>
        <v>59034</v>
      </c>
      <c r="C6" t="s">
        <v>8</v>
      </c>
      <c r="D6" s="1">
        <v>5</v>
      </c>
      <c r="E6">
        <v>0</v>
      </c>
      <c r="F6">
        <v>74</v>
      </c>
      <c r="G6">
        <v>74</v>
      </c>
      <c r="H6">
        <v>378</v>
      </c>
      <c r="I6" s="2">
        <v>19.576719579999999</v>
      </c>
      <c r="J6" cm="1">
        <f t="array" ref="J6">IF(AND(I6&gt;=0,I6&lt;=20),0,IF(AND(I6&gt;20,I6&lt;=40),1, IF(AND(I6&gt;40,I6&lt;=60),2,IF(AND(I6&gt;60,I6&lt;=80),3, IF(AND(I6&gt;80,I6&lt;=100),4,”5”)))))</f>
        <v>0</v>
      </c>
    </row>
    <row r="7" spans="1:10" x14ac:dyDescent="0.3">
      <c r="A7" t="str">
        <f t="shared" si="0"/>
        <v>59034_6</v>
      </c>
      <c r="B7">
        <f>VLOOKUP(C7,[1]lookuptable!$A$1:$C$7,2,0)</f>
        <v>59034</v>
      </c>
      <c r="C7" t="s">
        <v>8</v>
      </c>
      <c r="D7" s="1">
        <v>6</v>
      </c>
      <c r="E7">
        <v>1</v>
      </c>
      <c r="F7">
        <v>94</v>
      </c>
      <c r="G7">
        <v>95</v>
      </c>
      <c r="H7">
        <v>347</v>
      </c>
      <c r="I7" s="2">
        <v>27.377521609999999</v>
      </c>
      <c r="J7" cm="1">
        <f t="array" ref="J7">IF(AND(I7&gt;=0,I7&lt;=20),0,IF(AND(I7&gt;20,I7&lt;=40),1, IF(AND(I7&gt;40,I7&lt;=60),2,IF(AND(I7&gt;60,I7&lt;=80),3, IF(AND(I7&gt;80,I7&lt;=100),4,”5”)))))</f>
        <v>1</v>
      </c>
    </row>
    <row r="8" spans="1:10" x14ac:dyDescent="0.3">
      <c r="A8" t="str">
        <f t="shared" si="0"/>
        <v>59034_7</v>
      </c>
      <c r="B8">
        <f>VLOOKUP(C8,[1]lookuptable!$A$1:$C$7,2,0)</f>
        <v>59034</v>
      </c>
      <c r="C8" t="s">
        <v>8</v>
      </c>
      <c r="D8" s="1">
        <v>7</v>
      </c>
      <c r="E8">
        <v>0</v>
      </c>
      <c r="F8">
        <v>103</v>
      </c>
      <c r="G8">
        <v>103</v>
      </c>
      <c r="H8">
        <v>375</v>
      </c>
      <c r="I8" s="2">
        <v>27.466666669999999</v>
      </c>
      <c r="J8" cm="1">
        <f t="array" ref="J8">IF(AND(I8&gt;=0,I8&lt;=20),0,IF(AND(I8&gt;20,I8&lt;=40),1, IF(AND(I8&gt;40,I8&lt;=60),2,IF(AND(I8&gt;60,I8&lt;=80),3, IF(AND(I8&gt;80,I8&lt;=100),4,”5”)))))</f>
        <v>1</v>
      </c>
    </row>
    <row r="9" spans="1:10" x14ac:dyDescent="0.3">
      <c r="A9" t="str">
        <f t="shared" si="0"/>
        <v>59034_8</v>
      </c>
      <c r="B9">
        <f>VLOOKUP(C9,[1]lookuptable!$A$1:$C$7,2,0)</f>
        <v>59034</v>
      </c>
      <c r="C9" t="s">
        <v>8</v>
      </c>
      <c r="D9" s="1">
        <v>8</v>
      </c>
      <c r="E9">
        <v>9</v>
      </c>
      <c r="F9">
        <v>0</v>
      </c>
      <c r="G9">
        <v>0</v>
      </c>
      <c r="H9">
        <v>327</v>
      </c>
      <c r="I9" s="2">
        <f>(9/327)*100</f>
        <v>2.7522935779816518</v>
      </c>
      <c r="J9" cm="1">
        <f t="array" ref="J9">IF(AND(I9&gt;=0,I9&lt;=20),0,IF(AND(I9&gt;20,I9&lt;=40),1, IF(AND(I9&gt;40,I9&lt;=60),2,IF(AND(I9&gt;60,I9&lt;=80),3, IF(AND(I9&gt;80,I9&lt;=100),4,”5”)))))</f>
        <v>0</v>
      </c>
    </row>
    <row r="10" spans="1:10" x14ac:dyDescent="0.3">
      <c r="A10" t="str">
        <f t="shared" si="0"/>
        <v>59034_9</v>
      </c>
      <c r="B10">
        <f>VLOOKUP(C10,[1]lookuptable!$A$1:$C$7,2,0)</f>
        <v>59034</v>
      </c>
      <c r="C10" t="s">
        <v>8</v>
      </c>
      <c r="D10" s="1">
        <v>9</v>
      </c>
      <c r="E10">
        <v>1</v>
      </c>
      <c r="F10">
        <v>220</v>
      </c>
      <c r="G10">
        <v>221</v>
      </c>
      <c r="H10">
        <v>390</v>
      </c>
      <c r="I10" s="2">
        <v>56.666666669999998</v>
      </c>
      <c r="J10" cm="1">
        <f t="array" ref="J10">IF(AND(I10&gt;=0,I10&lt;=20),0,IF(AND(I10&gt;20,I10&lt;=40),1, IF(AND(I10&gt;40,I10&lt;=60),2,IF(AND(I10&gt;60,I10&lt;=80),3, IF(AND(I10&gt;80,I10&lt;=100),4,”5”)))))</f>
        <v>2</v>
      </c>
    </row>
    <row r="11" spans="1:10" x14ac:dyDescent="0.3">
      <c r="A11" t="str">
        <f t="shared" si="0"/>
        <v>59034_10</v>
      </c>
      <c r="B11">
        <f>VLOOKUP(C11,[1]lookuptable!$A$1:$C$7,2,0)</f>
        <v>59034</v>
      </c>
      <c r="C11" t="s">
        <v>8</v>
      </c>
      <c r="D11" s="1">
        <v>10</v>
      </c>
      <c r="E11">
        <v>0</v>
      </c>
      <c r="F11">
        <v>95</v>
      </c>
      <c r="G11">
        <v>95</v>
      </c>
      <c r="H11">
        <v>336</v>
      </c>
      <c r="I11" s="2">
        <v>28.27380952</v>
      </c>
      <c r="J11" cm="1">
        <f t="array" ref="J11">IF(AND(I11&gt;=0,I11&lt;=20),0,IF(AND(I11&gt;20,I11&lt;=40),1, IF(AND(I11&gt;40,I11&lt;=60),2,IF(AND(I11&gt;60,I11&lt;=80),3, IF(AND(I11&gt;80,I11&lt;=100),4,”5”)))))</f>
        <v>1</v>
      </c>
    </row>
    <row r="12" spans="1:10" x14ac:dyDescent="0.3">
      <c r="A12" t="str">
        <f t="shared" si="0"/>
        <v>59034_11</v>
      </c>
      <c r="B12">
        <f>VLOOKUP(C12,[1]lookuptable!$A$1:$C$7,2,0)</f>
        <v>59034</v>
      </c>
      <c r="C12" t="s">
        <v>8</v>
      </c>
      <c r="D12" s="1">
        <v>11</v>
      </c>
      <c r="E12">
        <v>0</v>
      </c>
      <c r="F12">
        <v>109</v>
      </c>
      <c r="G12">
        <v>109</v>
      </c>
      <c r="H12">
        <v>433</v>
      </c>
      <c r="I12" s="2">
        <v>25.17321016</v>
      </c>
      <c r="J12" cm="1">
        <f t="array" ref="J12">IF(AND(I12&gt;=0,I12&lt;=20),0,IF(AND(I12&gt;20,I12&lt;=40),1, IF(AND(I12&gt;40,I12&lt;=60),2,IF(AND(I12&gt;60,I12&lt;=80),3, IF(AND(I12&gt;80,I12&lt;=100),4,”5”)))))</f>
        <v>1</v>
      </c>
    </row>
    <row r="13" spans="1:10" x14ac:dyDescent="0.3">
      <c r="A13" t="str">
        <f t="shared" si="0"/>
        <v>59034_12</v>
      </c>
      <c r="B13">
        <f>VLOOKUP(C13,[1]lookuptable!$A$1:$C$7,2,0)</f>
        <v>59034</v>
      </c>
      <c r="C13" t="s">
        <v>8</v>
      </c>
      <c r="D13" s="1">
        <v>12</v>
      </c>
      <c r="E13">
        <v>0</v>
      </c>
      <c r="F13">
        <v>96</v>
      </c>
      <c r="G13">
        <v>96</v>
      </c>
      <c r="H13">
        <v>294</v>
      </c>
      <c r="I13" s="2">
        <v>32.653061219999998</v>
      </c>
      <c r="J13" cm="1">
        <f t="array" ref="J13">IF(AND(I13&gt;=0,I13&lt;=20),0,IF(AND(I13&gt;20,I13&lt;=40),1, IF(AND(I13&gt;40,I13&lt;=60),2,IF(AND(I13&gt;60,I13&lt;=80),3, IF(AND(I13&gt;80,I13&lt;=100),4,”5”)))))</f>
        <v>1</v>
      </c>
    </row>
    <row r="14" spans="1:10" x14ac:dyDescent="0.3">
      <c r="A14" t="str">
        <f t="shared" si="0"/>
        <v>59034_13</v>
      </c>
      <c r="B14">
        <f>VLOOKUP(C14,[1]lookuptable!$A$1:$C$7,2,0)</f>
        <v>59034</v>
      </c>
      <c r="C14" t="s">
        <v>8</v>
      </c>
      <c r="D14" s="1">
        <v>13</v>
      </c>
      <c r="E14">
        <v>0</v>
      </c>
      <c r="F14">
        <v>83</v>
      </c>
      <c r="G14">
        <v>83</v>
      </c>
      <c r="H14">
        <v>347</v>
      </c>
      <c r="I14" s="2">
        <v>23.919308359999999</v>
      </c>
      <c r="J14" cm="1">
        <f t="array" ref="J14">IF(AND(I14&gt;=0,I14&lt;=20),0,IF(AND(I14&gt;20,I14&lt;=40),1, IF(AND(I14&gt;40,I14&lt;=60),2,IF(AND(I14&gt;60,I14&lt;=80),3, IF(AND(I14&gt;80,I14&lt;=100),4,”5”)))))</f>
        <v>1</v>
      </c>
    </row>
    <row r="15" spans="1:10" x14ac:dyDescent="0.3">
      <c r="A15" t="str">
        <f t="shared" si="0"/>
        <v>59034_14</v>
      </c>
      <c r="B15">
        <f>VLOOKUP(C15,[1]lookuptable!$A$1:$C$7,2,0)</f>
        <v>59034</v>
      </c>
      <c r="C15" t="s">
        <v>8</v>
      </c>
      <c r="D15" s="1">
        <v>14</v>
      </c>
      <c r="E15">
        <v>1</v>
      </c>
      <c r="F15">
        <v>148</v>
      </c>
      <c r="G15">
        <v>149</v>
      </c>
      <c r="H15">
        <v>449</v>
      </c>
      <c r="I15" s="2">
        <v>33.184855229999997</v>
      </c>
      <c r="J15" cm="1">
        <f t="array" ref="J15">IF(AND(I15&gt;=0,I15&lt;=20),0,IF(AND(I15&gt;20,I15&lt;=40),1, IF(AND(I15&gt;40,I15&lt;=60),2,IF(AND(I15&gt;60,I15&lt;=80),3, IF(AND(I15&gt;80,I15&lt;=100),4,”5”)))))</f>
        <v>1</v>
      </c>
    </row>
    <row r="16" spans="1:10" x14ac:dyDescent="0.3">
      <c r="A16" t="str">
        <f t="shared" si="0"/>
        <v>59034_15</v>
      </c>
      <c r="B16">
        <f>VLOOKUP(C16,[1]lookuptable!$A$1:$C$7,2,0)</f>
        <v>59034</v>
      </c>
      <c r="C16" t="s">
        <v>8</v>
      </c>
      <c r="D16" s="1">
        <v>15</v>
      </c>
      <c r="E16">
        <v>1</v>
      </c>
      <c r="F16">
        <v>131</v>
      </c>
      <c r="G16">
        <v>132</v>
      </c>
      <c r="H16">
        <v>408</v>
      </c>
      <c r="I16" s="2">
        <v>32.352941180000002</v>
      </c>
      <c r="J16" cm="1">
        <f t="array" ref="J16">IF(AND(I16&gt;=0,I16&lt;=20),0,IF(AND(I16&gt;20,I16&lt;=40),1, IF(AND(I16&gt;40,I16&lt;=60),2,IF(AND(I16&gt;60,I16&lt;=80),3, IF(AND(I16&gt;80,I16&lt;=100),4,”5”)))))</f>
        <v>1</v>
      </c>
    </row>
    <row r="17" spans="1:10" x14ac:dyDescent="0.3">
      <c r="A17" t="str">
        <f t="shared" si="0"/>
        <v>59034_16</v>
      </c>
      <c r="B17">
        <f>VLOOKUP(C17,[1]lookuptable!$A$1:$C$7,2,0)</f>
        <v>59034</v>
      </c>
      <c r="C17" t="s">
        <v>8</v>
      </c>
      <c r="D17" s="1">
        <v>16</v>
      </c>
      <c r="E17">
        <v>1</v>
      </c>
      <c r="F17">
        <v>120</v>
      </c>
      <c r="G17">
        <v>121</v>
      </c>
      <c r="H17">
        <v>354</v>
      </c>
      <c r="I17" s="2">
        <v>34.180790960000003</v>
      </c>
      <c r="J17" cm="1">
        <f t="array" ref="J17">IF(AND(I17&gt;=0,I17&lt;=20),0,IF(AND(I17&gt;20,I17&lt;=40),1, IF(AND(I17&gt;40,I17&lt;=60),2,IF(AND(I17&gt;60,I17&lt;=80),3, IF(AND(I17&gt;80,I17&lt;=100),4,”5”)))))</f>
        <v>1</v>
      </c>
    </row>
    <row r="18" spans="1:10" x14ac:dyDescent="0.3">
      <c r="A18" t="str">
        <f t="shared" si="0"/>
        <v>59034_17</v>
      </c>
      <c r="B18">
        <f>VLOOKUP(C18,[1]lookuptable!$A$1:$C$7,2,0)</f>
        <v>59034</v>
      </c>
      <c r="C18" t="s">
        <v>8</v>
      </c>
      <c r="D18" s="1">
        <v>17</v>
      </c>
      <c r="E18">
        <v>0</v>
      </c>
      <c r="F18">
        <v>112</v>
      </c>
      <c r="G18">
        <v>112</v>
      </c>
      <c r="H18">
        <v>409</v>
      </c>
      <c r="I18" s="2">
        <v>27.383863080000001</v>
      </c>
      <c r="J18" cm="1">
        <f t="array" ref="J18">IF(AND(I18&gt;=0,I18&lt;=20),0,IF(AND(I18&gt;20,I18&lt;=40),1, IF(AND(I18&gt;40,I18&lt;=60),2,IF(AND(I18&gt;60,I18&lt;=80),3, IF(AND(I18&gt;80,I18&lt;=100),4,”5”)))))</f>
        <v>1</v>
      </c>
    </row>
    <row r="19" spans="1:10" x14ac:dyDescent="0.3">
      <c r="A19" t="str">
        <f t="shared" si="0"/>
        <v>59034_18</v>
      </c>
      <c r="B19">
        <f>VLOOKUP(C19,[1]lookuptable!$A$1:$C$7,2,0)</f>
        <v>59034</v>
      </c>
      <c r="C19" t="s">
        <v>8</v>
      </c>
      <c r="D19" s="1">
        <v>18</v>
      </c>
      <c r="E19">
        <v>0</v>
      </c>
      <c r="F19">
        <v>93</v>
      </c>
      <c r="G19">
        <v>93</v>
      </c>
      <c r="H19">
        <v>371</v>
      </c>
      <c r="I19" s="2">
        <v>25.067385439999999</v>
      </c>
      <c r="J19" cm="1">
        <f t="array" ref="J19">IF(AND(I19&gt;=0,I19&lt;=20),0,IF(AND(I19&gt;20,I19&lt;=40),1, IF(AND(I19&gt;40,I19&lt;=60),2,IF(AND(I19&gt;60,I19&lt;=80),3, IF(AND(I19&gt;80,I19&lt;=100),4,”5”)))))</f>
        <v>1</v>
      </c>
    </row>
    <row r="20" spans="1:10" x14ac:dyDescent="0.3">
      <c r="A20" t="str">
        <f t="shared" si="0"/>
        <v>59034_19</v>
      </c>
      <c r="B20">
        <f>VLOOKUP(C20,[1]lookuptable!$A$1:$C$7,2,0)</f>
        <v>59034</v>
      </c>
      <c r="C20" t="s">
        <v>8</v>
      </c>
      <c r="D20" s="1">
        <v>19</v>
      </c>
      <c r="E20">
        <v>0</v>
      </c>
      <c r="F20">
        <v>126</v>
      </c>
      <c r="G20">
        <v>126</v>
      </c>
      <c r="H20">
        <v>491</v>
      </c>
      <c r="I20" s="2">
        <v>25.661914459999998</v>
      </c>
      <c r="J20" cm="1">
        <f t="array" ref="J20">IF(AND(I20&gt;=0,I20&lt;=20),0,IF(AND(I20&gt;20,I20&lt;=40),1, IF(AND(I20&gt;40,I20&lt;=60),2,IF(AND(I20&gt;60,I20&lt;=80),3, IF(AND(I20&gt;80,I20&lt;=100),4,”5”)))))</f>
        <v>1</v>
      </c>
    </row>
    <row r="21" spans="1:10" x14ac:dyDescent="0.3">
      <c r="A21" t="str">
        <f t="shared" si="0"/>
        <v>59034_20</v>
      </c>
      <c r="B21">
        <f>VLOOKUP(C21,[1]lookuptable!$A$1:$C$7,2,0)</f>
        <v>59034</v>
      </c>
      <c r="C21" t="s">
        <v>8</v>
      </c>
      <c r="D21" s="1">
        <v>20</v>
      </c>
      <c r="E21">
        <v>1</v>
      </c>
      <c r="F21">
        <v>95</v>
      </c>
      <c r="G21">
        <v>96</v>
      </c>
      <c r="H21">
        <v>491</v>
      </c>
      <c r="I21" s="2">
        <v>19.55193483</v>
      </c>
      <c r="J21" cm="1">
        <f t="array" ref="J21">IF(AND(I21&gt;=0,I21&lt;=20),0,IF(AND(I21&gt;20,I21&lt;=40),1, IF(AND(I21&gt;40,I21&lt;=60),2,IF(AND(I21&gt;60,I21&lt;=80),3, IF(AND(I21&gt;80,I21&lt;=100),4,”5”)))))</f>
        <v>0</v>
      </c>
    </row>
    <row r="22" spans="1:10" x14ac:dyDescent="0.3">
      <c r="A22" t="str">
        <f t="shared" si="0"/>
        <v>59034_21</v>
      </c>
      <c r="B22">
        <f>VLOOKUP(C22,[1]lookuptable!$A$1:$C$7,2,0)</f>
        <v>59034</v>
      </c>
      <c r="C22" t="s">
        <v>8</v>
      </c>
      <c r="D22" s="1">
        <v>21</v>
      </c>
      <c r="E22">
        <v>0</v>
      </c>
      <c r="F22">
        <v>116</v>
      </c>
      <c r="G22">
        <v>116</v>
      </c>
      <c r="H22">
        <v>506</v>
      </c>
      <c r="I22" s="2">
        <v>22.92490119</v>
      </c>
      <c r="J22" cm="1">
        <f t="array" ref="J22">IF(AND(I22&gt;=0,I22&lt;=20),0,IF(AND(I22&gt;20,I22&lt;=40),1, IF(AND(I22&gt;40,I22&lt;=60),2,IF(AND(I22&gt;60,I22&lt;=80),3, IF(AND(I22&gt;80,I22&lt;=100),4,”5”)))))</f>
        <v>1</v>
      </c>
    </row>
    <row r="23" spans="1:10" x14ac:dyDescent="0.3">
      <c r="A23" t="str">
        <f t="shared" si="0"/>
        <v>59034_22</v>
      </c>
      <c r="B23">
        <f>VLOOKUP(C23,[1]lookuptable!$A$1:$C$7,2,0)</f>
        <v>59034</v>
      </c>
      <c r="C23" t="s">
        <v>8</v>
      </c>
      <c r="D23" s="1">
        <v>22</v>
      </c>
      <c r="E23">
        <v>3</v>
      </c>
      <c r="F23">
        <v>171</v>
      </c>
      <c r="G23">
        <v>174</v>
      </c>
      <c r="H23">
        <v>628</v>
      </c>
      <c r="I23" s="2">
        <v>27.707006369999998</v>
      </c>
      <c r="J23" cm="1">
        <f t="array" ref="J23">IF(AND(I23&gt;=0,I23&lt;=20),0,IF(AND(I23&gt;20,I23&lt;=40),1, IF(AND(I23&gt;40,I23&lt;=60),2,IF(AND(I23&gt;60,I23&lt;=80),3, IF(AND(I23&gt;80,I23&lt;=100),4,”5”)))))</f>
        <v>1</v>
      </c>
    </row>
    <row r="24" spans="1:10" x14ac:dyDescent="0.3">
      <c r="A24" t="str">
        <f t="shared" si="0"/>
        <v>59034_23</v>
      </c>
      <c r="B24">
        <f>VLOOKUP(C24,[1]lookuptable!$A$1:$C$7,2,0)</f>
        <v>59034</v>
      </c>
      <c r="C24" t="s">
        <v>8</v>
      </c>
      <c r="D24" s="1">
        <v>23</v>
      </c>
      <c r="E24">
        <v>0</v>
      </c>
      <c r="F24">
        <v>89</v>
      </c>
      <c r="G24">
        <v>89</v>
      </c>
      <c r="H24">
        <v>364</v>
      </c>
      <c r="I24" s="2">
        <v>24.45054945</v>
      </c>
      <c r="J24" cm="1">
        <f t="array" ref="J24">IF(AND(I24&gt;=0,I24&lt;=20),0,IF(AND(I24&gt;20,I24&lt;=40),1, IF(AND(I24&gt;40,I24&lt;=60),2,IF(AND(I24&gt;60,I24&lt;=80),3, IF(AND(I24&gt;80,I24&lt;=100),4,”5”)))))</f>
        <v>1</v>
      </c>
    </row>
    <row r="25" spans="1:10" x14ac:dyDescent="0.3">
      <c r="A25" t="str">
        <f t="shared" si="0"/>
        <v>59034_24</v>
      </c>
      <c r="B25">
        <f>VLOOKUP(C25,[1]lookuptable!$A$1:$C$7,2,0)</f>
        <v>59034</v>
      </c>
      <c r="C25" t="s">
        <v>8</v>
      </c>
      <c r="D25" s="1">
        <v>24</v>
      </c>
      <c r="E25">
        <v>0</v>
      </c>
      <c r="F25">
        <v>133</v>
      </c>
      <c r="G25">
        <v>133</v>
      </c>
      <c r="H25">
        <v>296</v>
      </c>
      <c r="I25" s="2">
        <v>44.932432429999999</v>
      </c>
      <c r="J25" cm="1">
        <f t="array" ref="J25">IF(AND(I25&gt;=0,I25&lt;=20),0,IF(AND(I25&gt;20,I25&lt;=40),1, IF(AND(I25&gt;40,I25&lt;=60),2,IF(AND(I25&gt;60,I25&lt;=80),3, IF(AND(I25&gt;80,I25&lt;=100),4,”5”)))))</f>
        <v>2</v>
      </c>
    </row>
    <row r="26" spans="1:10" x14ac:dyDescent="0.3">
      <c r="A26" t="str">
        <f t="shared" si="0"/>
        <v>59034_25</v>
      </c>
      <c r="B26">
        <f>VLOOKUP(C26,[1]lookuptable!$A$1:$C$7,2,0)</f>
        <v>59034</v>
      </c>
      <c r="C26" t="s">
        <v>8</v>
      </c>
      <c r="D26" s="1">
        <v>25</v>
      </c>
      <c r="E26">
        <v>0</v>
      </c>
      <c r="F26">
        <v>102</v>
      </c>
      <c r="G26">
        <v>102</v>
      </c>
      <c r="H26">
        <v>375</v>
      </c>
      <c r="I26" s="2">
        <v>27.2</v>
      </c>
      <c r="J26" cm="1">
        <f t="array" ref="J26">IF(AND(I26&gt;=0,I26&lt;=20),0,IF(AND(I26&gt;20,I26&lt;=40),1, IF(AND(I26&gt;40,I26&lt;=60),2,IF(AND(I26&gt;60,I26&lt;=80),3, IF(AND(I26&gt;80,I26&lt;=100),4,”5”)))))</f>
        <v>1</v>
      </c>
    </row>
    <row r="27" spans="1:10" x14ac:dyDescent="0.3">
      <c r="A27" t="str">
        <f t="shared" si="0"/>
        <v>59034_26</v>
      </c>
      <c r="B27">
        <f>VLOOKUP(C27,[1]lookuptable!$A$1:$C$7,2,0)</f>
        <v>59034</v>
      </c>
      <c r="C27" t="s">
        <v>8</v>
      </c>
      <c r="D27" s="1">
        <v>26</v>
      </c>
      <c r="E27">
        <v>24</v>
      </c>
      <c r="F27">
        <v>0</v>
      </c>
      <c r="G27">
        <v>0</v>
      </c>
      <c r="H27">
        <v>398</v>
      </c>
      <c r="I27" s="2">
        <f>((E27+G27)/H27)*100</f>
        <v>6.0301507537688437</v>
      </c>
      <c r="J27" cm="1">
        <f t="array" ref="J27">IF(AND(I27&gt;=0,I27&lt;=20),0,IF(AND(I27&gt;20,I27&lt;=40),1, IF(AND(I27&gt;40,I27&lt;=60),2,IF(AND(I27&gt;60,I27&lt;=80),3, IF(AND(I27&gt;80,I27&lt;=100),4,”5”)))))</f>
        <v>0</v>
      </c>
    </row>
    <row r="28" spans="1:10" x14ac:dyDescent="0.3">
      <c r="A28" t="str">
        <f t="shared" si="0"/>
        <v>59034_27</v>
      </c>
      <c r="B28">
        <f>VLOOKUP(C28,[1]lookuptable!$A$1:$C$7,2,0)</f>
        <v>59034</v>
      </c>
      <c r="C28" t="s">
        <v>8</v>
      </c>
      <c r="D28" s="1">
        <v>27</v>
      </c>
      <c r="E28">
        <v>1</v>
      </c>
      <c r="F28">
        <v>97</v>
      </c>
      <c r="G28">
        <v>98</v>
      </c>
      <c r="H28">
        <v>478</v>
      </c>
      <c r="I28" s="2">
        <v>20.502092050000002</v>
      </c>
      <c r="J28" cm="1">
        <f t="array" ref="J28">IF(AND(I28&gt;=0,I28&lt;=20),0,IF(AND(I28&gt;20,I28&lt;=40),1, IF(AND(I28&gt;40,I28&lt;=60),2,IF(AND(I28&gt;60,I28&lt;=80),3, IF(AND(I28&gt;80,I28&lt;=100),4,”5”)))))</f>
        <v>1</v>
      </c>
    </row>
    <row r="29" spans="1:10" x14ac:dyDescent="0.3">
      <c r="A29" t="str">
        <f t="shared" si="0"/>
        <v>59034_28</v>
      </c>
      <c r="B29">
        <f>VLOOKUP(C29,[1]lookuptable!$A$1:$C$7,2,0)</f>
        <v>59034</v>
      </c>
      <c r="C29" t="s">
        <v>8</v>
      </c>
      <c r="D29" s="1">
        <v>28</v>
      </c>
      <c r="E29">
        <v>35</v>
      </c>
      <c r="F29">
        <v>0</v>
      </c>
      <c r="G29">
        <v>0</v>
      </c>
      <c r="H29">
        <v>355</v>
      </c>
      <c r="I29" s="2">
        <f>((E29+G29)/H29)*100</f>
        <v>9.8591549295774641</v>
      </c>
      <c r="J29" cm="1">
        <f t="array" ref="J29">IF(AND(I29&gt;=0,I29&lt;=20),0,IF(AND(I29&gt;20,I29&lt;=40),1, IF(AND(I29&gt;40,I29&lt;=60),2,IF(AND(I29&gt;60,I29&lt;=80),3, IF(AND(I29&gt;80,I29&lt;=100),4,”5”)))))</f>
        <v>0</v>
      </c>
    </row>
    <row r="30" spans="1:10" x14ac:dyDescent="0.3">
      <c r="A30" t="str">
        <f t="shared" si="0"/>
        <v>59034_29</v>
      </c>
      <c r="B30">
        <f>VLOOKUP(C30,[1]lookuptable!$A$1:$C$7,2,0)</f>
        <v>59034</v>
      </c>
      <c r="C30" t="s">
        <v>8</v>
      </c>
      <c r="D30" s="1">
        <v>29</v>
      </c>
      <c r="E30">
        <v>0</v>
      </c>
      <c r="F30">
        <v>106</v>
      </c>
      <c r="G30">
        <v>106</v>
      </c>
      <c r="H30">
        <v>432</v>
      </c>
      <c r="I30" s="2">
        <v>24.537037040000001</v>
      </c>
      <c r="J30" cm="1">
        <f t="array" ref="J30">IF(AND(I30&gt;=0,I30&lt;=20),0,IF(AND(I30&gt;20,I30&lt;=40),1, IF(AND(I30&gt;40,I30&lt;=60),2,IF(AND(I30&gt;60,I30&lt;=80),3, IF(AND(I30&gt;80,I30&lt;=100),4,”5”)))))</f>
        <v>1</v>
      </c>
    </row>
    <row r="31" spans="1:10" x14ac:dyDescent="0.3">
      <c r="A31" t="str">
        <f t="shared" si="0"/>
        <v>59034_30</v>
      </c>
      <c r="B31">
        <f>VLOOKUP(C31,[1]lookuptable!$A$1:$C$7,2,0)</f>
        <v>59034</v>
      </c>
      <c r="C31" t="s">
        <v>8</v>
      </c>
      <c r="D31" s="1">
        <v>30</v>
      </c>
      <c r="E31">
        <v>0</v>
      </c>
      <c r="F31">
        <v>75</v>
      </c>
      <c r="G31">
        <v>75</v>
      </c>
      <c r="H31">
        <v>534</v>
      </c>
      <c r="I31" s="2">
        <v>14.04494382</v>
      </c>
      <c r="J31" cm="1">
        <f t="array" ref="J31">IF(AND(I31&gt;=0,I31&lt;=20),0,IF(AND(I31&gt;20,I31&lt;=40),1, IF(AND(I31&gt;40,I31&lt;=60),2,IF(AND(I31&gt;60,I31&lt;=80),3, IF(AND(I31&gt;80,I31&lt;=100),4,”5”)))))</f>
        <v>0</v>
      </c>
    </row>
    <row r="32" spans="1:10" x14ac:dyDescent="0.3">
      <c r="A32" t="str">
        <f t="shared" si="0"/>
        <v>59034_31</v>
      </c>
      <c r="B32">
        <f>VLOOKUP(C32,[1]lookuptable!$A$1:$C$7,2,0)</f>
        <v>59034</v>
      </c>
      <c r="C32" t="s">
        <v>8</v>
      </c>
      <c r="D32" s="1">
        <v>31</v>
      </c>
      <c r="E32">
        <v>0</v>
      </c>
      <c r="F32">
        <v>86</v>
      </c>
      <c r="G32">
        <v>86</v>
      </c>
      <c r="H32">
        <v>389</v>
      </c>
      <c r="I32" s="2">
        <v>22.107969149999999</v>
      </c>
      <c r="J32" cm="1">
        <f t="array" ref="J32">IF(AND(I32&gt;=0,I32&lt;=20),0,IF(AND(I32&gt;20,I32&lt;=40),1, IF(AND(I32&gt;40,I32&lt;=60),2,IF(AND(I32&gt;60,I32&lt;=80),3, IF(AND(I32&gt;80,I32&lt;=100),4,”5”)))))</f>
        <v>1</v>
      </c>
    </row>
    <row r="33" spans="1:10" x14ac:dyDescent="0.3">
      <c r="A33" t="str">
        <f t="shared" si="0"/>
        <v>59034_32</v>
      </c>
      <c r="B33">
        <f>VLOOKUP(C33,[1]lookuptable!$A$1:$C$7,2,0)</f>
        <v>59034</v>
      </c>
      <c r="C33" t="s">
        <v>8</v>
      </c>
      <c r="D33" s="1">
        <v>32</v>
      </c>
      <c r="E33">
        <v>2</v>
      </c>
      <c r="F33">
        <v>77</v>
      </c>
      <c r="G33">
        <v>79</v>
      </c>
      <c r="H33">
        <v>359</v>
      </c>
      <c r="I33" s="2">
        <v>22.005571029999999</v>
      </c>
      <c r="J33" cm="1">
        <f t="array" ref="J33">IF(AND(I33&gt;=0,I33&lt;=20),0,IF(AND(I33&gt;20,I33&lt;=40),1, IF(AND(I33&gt;40,I33&lt;=60),2,IF(AND(I33&gt;60,I33&lt;=80),3, IF(AND(I33&gt;80,I33&lt;=100),4,”5”)))))</f>
        <v>1</v>
      </c>
    </row>
    <row r="34" spans="1:10" x14ac:dyDescent="0.3">
      <c r="A34" t="str">
        <f t="shared" si="0"/>
        <v>59034_33</v>
      </c>
      <c r="B34">
        <f>VLOOKUP(C34,[1]lookuptable!$A$1:$C$7,2,0)</f>
        <v>59034</v>
      </c>
      <c r="C34" t="s">
        <v>8</v>
      </c>
      <c r="D34" s="1">
        <v>33</v>
      </c>
      <c r="E34">
        <v>1</v>
      </c>
      <c r="F34">
        <v>151</v>
      </c>
      <c r="G34">
        <v>152</v>
      </c>
      <c r="H34">
        <v>374</v>
      </c>
      <c r="I34" s="2">
        <v>40.641711229999999</v>
      </c>
      <c r="J34" cm="1">
        <f t="array" ref="J34">IF(AND(I34&gt;=0,I34&lt;=20),0,IF(AND(I34&gt;20,I34&lt;=40),1, IF(AND(I34&gt;40,I34&lt;=60),2,IF(AND(I34&gt;60,I34&lt;=80),3, IF(AND(I34&gt;80,I34&lt;=100),4,”5”)))))</f>
        <v>2</v>
      </c>
    </row>
    <row r="35" spans="1:10" x14ac:dyDescent="0.3">
      <c r="A35" t="str">
        <f t="shared" si="0"/>
        <v>59034_34</v>
      </c>
      <c r="B35">
        <f>VLOOKUP(C35,[1]lookuptable!$A$1:$C$7,2,0)</f>
        <v>59034</v>
      </c>
      <c r="C35" t="s">
        <v>8</v>
      </c>
      <c r="D35" s="1">
        <v>34</v>
      </c>
      <c r="E35">
        <v>1</v>
      </c>
      <c r="F35">
        <v>128</v>
      </c>
      <c r="G35">
        <v>129</v>
      </c>
      <c r="H35">
        <v>474</v>
      </c>
      <c r="I35" s="2">
        <v>27.21518987</v>
      </c>
      <c r="J35" cm="1">
        <f t="array" ref="J35">IF(AND(I35&gt;=0,I35&lt;=20),0,IF(AND(I35&gt;20,I35&lt;=40),1, IF(AND(I35&gt;40,I35&lt;=60),2,IF(AND(I35&gt;60,I35&lt;=80),3, IF(AND(I35&gt;80,I35&lt;=100),4,”5”)))))</f>
        <v>1</v>
      </c>
    </row>
    <row r="36" spans="1:10" x14ac:dyDescent="0.3">
      <c r="A36" t="str">
        <f t="shared" si="0"/>
        <v>59034_35</v>
      </c>
      <c r="B36">
        <f>VLOOKUP(C36,[1]lookuptable!$A$1:$C$7,2,0)</f>
        <v>59034</v>
      </c>
      <c r="C36" t="s">
        <v>8</v>
      </c>
      <c r="D36" s="1">
        <v>35</v>
      </c>
      <c r="E36">
        <v>1</v>
      </c>
      <c r="F36">
        <v>213</v>
      </c>
      <c r="G36">
        <v>214</v>
      </c>
      <c r="H36">
        <v>550</v>
      </c>
      <c r="I36" s="2">
        <v>38.909090910000003</v>
      </c>
      <c r="J36" cm="1">
        <f t="array" ref="J36">IF(AND(I36&gt;=0,I36&lt;=20),0,IF(AND(I36&gt;20,I36&lt;=40),1, IF(AND(I36&gt;40,I36&lt;=60),2,IF(AND(I36&gt;60,I36&lt;=80),3, IF(AND(I36&gt;80,I36&lt;=100),4,”5”)))))</f>
        <v>1</v>
      </c>
    </row>
    <row r="37" spans="1:10" x14ac:dyDescent="0.3">
      <c r="A37" t="str">
        <f t="shared" si="0"/>
        <v>59034_36</v>
      </c>
      <c r="B37">
        <f>VLOOKUP(C37,[1]lookuptable!$A$1:$C$7,2,0)</f>
        <v>59034</v>
      </c>
      <c r="C37" t="s">
        <v>8</v>
      </c>
      <c r="D37" s="1">
        <v>36</v>
      </c>
      <c r="E37">
        <v>0</v>
      </c>
      <c r="F37">
        <v>113</v>
      </c>
      <c r="G37">
        <v>113</v>
      </c>
      <c r="H37">
        <v>367</v>
      </c>
      <c r="I37" s="2">
        <v>30.79019074</v>
      </c>
      <c r="J37" cm="1">
        <f t="array" ref="J37">IF(AND(I37&gt;=0,I37&lt;=20),0,IF(AND(I37&gt;20,I37&lt;=40),1, IF(AND(I37&gt;40,I37&lt;=60),2,IF(AND(I37&gt;60,I37&lt;=80),3, IF(AND(I37&gt;80,I37&lt;=100),4,”5”)))))</f>
        <v>1</v>
      </c>
    </row>
    <row r="38" spans="1:10" x14ac:dyDescent="0.3">
      <c r="A38" t="str">
        <f t="shared" si="0"/>
        <v>59034_37</v>
      </c>
      <c r="B38">
        <f>VLOOKUP(C38,[1]lookuptable!$A$1:$C$7,2,0)</f>
        <v>59034</v>
      </c>
      <c r="C38" t="s">
        <v>8</v>
      </c>
      <c r="D38" s="1">
        <v>37</v>
      </c>
      <c r="E38">
        <v>1</v>
      </c>
      <c r="F38">
        <v>109</v>
      </c>
      <c r="G38">
        <v>110</v>
      </c>
      <c r="H38">
        <v>457</v>
      </c>
      <c r="I38" s="2">
        <v>24.070021879999999</v>
      </c>
      <c r="J38" cm="1">
        <f t="array" ref="J38">IF(AND(I38&gt;=0,I38&lt;=20),0,IF(AND(I38&gt;20,I38&lt;=40),1, IF(AND(I38&gt;40,I38&lt;=60),2,IF(AND(I38&gt;60,I38&lt;=80),3, IF(AND(I38&gt;80,I38&lt;=100),4,”5”)))))</f>
        <v>1</v>
      </c>
    </row>
    <row r="39" spans="1:10" x14ac:dyDescent="0.3">
      <c r="A39" t="str">
        <f t="shared" si="0"/>
        <v>59034_38</v>
      </c>
      <c r="B39">
        <f>VLOOKUP(C39,[1]lookuptable!$A$1:$C$7,2,0)</f>
        <v>59034</v>
      </c>
      <c r="C39" t="s">
        <v>8</v>
      </c>
      <c r="D39" s="1">
        <v>38</v>
      </c>
      <c r="E39">
        <v>3</v>
      </c>
      <c r="F39">
        <v>88</v>
      </c>
      <c r="G39">
        <v>91</v>
      </c>
      <c r="H39">
        <v>405</v>
      </c>
      <c r="I39" s="2">
        <v>22.4691358</v>
      </c>
      <c r="J39" cm="1">
        <f t="array" ref="J39">IF(AND(I39&gt;=0,I39&lt;=20),0,IF(AND(I39&gt;20,I39&lt;=40),1, IF(AND(I39&gt;40,I39&lt;=60),2,IF(AND(I39&gt;60,I39&lt;=80),3, IF(AND(I39&gt;80,I39&lt;=100),4,”5”)))))</f>
        <v>1</v>
      </c>
    </row>
    <row r="40" spans="1:10" x14ac:dyDescent="0.3">
      <c r="A40" t="str">
        <f t="shared" si="0"/>
        <v>59034_39</v>
      </c>
      <c r="B40">
        <f>VLOOKUP(C40,[1]lookuptable!$A$1:$C$7,2,0)</f>
        <v>59034</v>
      </c>
      <c r="C40" t="s">
        <v>8</v>
      </c>
      <c r="D40" s="1">
        <v>39</v>
      </c>
      <c r="E40">
        <v>1</v>
      </c>
      <c r="F40">
        <v>73</v>
      </c>
      <c r="G40">
        <v>74</v>
      </c>
      <c r="H40">
        <v>345</v>
      </c>
      <c r="I40" s="2">
        <v>21.449275360000001</v>
      </c>
      <c r="J40" cm="1">
        <f t="array" ref="J40">IF(AND(I40&gt;=0,I40&lt;=20),0,IF(AND(I40&gt;20,I40&lt;=40),1, IF(AND(I40&gt;40,I40&lt;=60),2,IF(AND(I40&gt;60,I40&lt;=80),3, IF(AND(I40&gt;80,I40&lt;=100),4,”5”)))))</f>
        <v>1</v>
      </c>
    </row>
    <row r="41" spans="1:10" x14ac:dyDescent="0.3">
      <c r="A41" t="str">
        <f t="shared" si="0"/>
        <v>59034_40</v>
      </c>
      <c r="B41">
        <f>VLOOKUP(C41,[1]lookuptable!$A$1:$C$7,2,0)</f>
        <v>59034</v>
      </c>
      <c r="C41" t="s">
        <v>8</v>
      </c>
      <c r="D41" s="1">
        <v>40</v>
      </c>
      <c r="E41">
        <v>0</v>
      </c>
      <c r="F41">
        <v>170</v>
      </c>
      <c r="G41">
        <v>170</v>
      </c>
      <c r="H41">
        <v>630</v>
      </c>
      <c r="I41" s="2">
        <v>26.984126979999999</v>
      </c>
      <c r="J41" cm="1">
        <f t="array" ref="J41">IF(AND(I41&gt;=0,I41&lt;=20),0,IF(AND(I41&gt;20,I41&lt;=40),1, IF(AND(I41&gt;40,I41&lt;=60),2,IF(AND(I41&gt;60,I41&lt;=80),3, IF(AND(I41&gt;80,I41&lt;=100),4,”5”)))))</f>
        <v>1</v>
      </c>
    </row>
    <row r="42" spans="1:10" x14ac:dyDescent="0.3">
      <c r="A42" t="str">
        <f t="shared" si="0"/>
        <v>59034_42</v>
      </c>
      <c r="B42">
        <f>VLOOKUP(C42,[1]lookuptable!$A$1:$C$7,2,0)</f>
        <v>59034</v>
      </c>
      <c r="C42" t="s">
        <v>8</v>
      </c>
      <c r="D42" s="1">
        <v>42</v>
      </c>
      <c r="E42">
        <v>1</v>
      </c>
      <c r="F42">
        <v>105</v>
      </c>
      <c r="G42">
        <v>106</v>
      </c>
      <c r="H42">
        <v>370</v>
      </c>
      <c r="I42" s="2">
        <v>28.648648649999998</v>
      </c>
      <c r="J42" cm="1">
        <f t="array" ref="J42">IF(AND(I42&gt;=0,I42&lt;=20),0,IF(AND(I42&gt;20,I42&lt;=40),1, IF(AND(I42&gt;40,I42&lt;=60),2,IF(AND(I42&gt;60,I42&lt;=80),3, IF(AND(I42&gt;80,I42&lt;=100),4,”5”)))))</f>
        <v>1</v>
      </c>
    </row>
    <row r="43" spans="1:10" x14ac:dyDescent="0.3">
      <c r="A43" t="str">
        <f t="shared" si="0"/>
        <v>59034_43</v>
      </c>
      <c r="B43">
        <f>VLOOKUP(C43,[1]lookuptable!$A$1:$C$7,2,0)</f>
        <v>59034</v>
      </c>
      <c r="C43" t="s">
        <v>8</v>
      </c>
      <c r="D43" s="1">
        <v>43</v>
      </c>
      <c r="E43">
        <v>0</v>
      </c>
      <c r="F43">
        <v>115</v>
      </c>
      <c r="G43">
        <v>115</v>
      </c>
      <c r="H43">
        <v>453</v>
      </c>
      <c r="I43" s="2">
        <v>25.386313470000001</v>
      </c>
      <c r="J43" cm="1">
        <f t="array" ref="J43">IF(AND(I43&gt;=0,I43&lt;=20),0,IF(AND(I43&gt;20,I43&lt;=40),1, IF(AND(I43&gt;40,I43&lt;=60),2,IF(AND(I43&gt;60,I43&lt;=80),3, IF(AND(I43&gt;80,I43&lt;=100),4,”5”)))))</f>
        <v>1</v>
      </c>
    </row>
    <row r="44" spans="1:10" x14ac:dyDescent="0.3">
      <c r="A44" t="str">
        <f t="shared" si="0"/>
        <v>59034_44</v>
      </c>
      <c r="B44">
        <f>VLOOKUP(C44,[1]lookuptable!$A$1:$C$7,2,0)</f>
        <v>59034</v>
      </c>
      <c r="C44" t="s">
        <v>8</v>
      </c>
      <c r="D44" s="1">
        <v>44</v>
      </c>
      <c r="E44">
        <v>0</v>
      </c>
      <c r="F44">
        <v>119</v>
      </c>
      <c r="G44">
        <v>119</v>
      </c>
      <c r="H44">
        <v>478</v>
      </c>
      <c r="I44" s="2">
        <v>24.895397490000001</v>
      </c>
      <c r="J44" cm="1">
        <f t="array" ref="J44">IF(AND(I44&gt;=0,I44&lt;=20),0,IF(AND(I44&gt;20,I44&lt;=40),1, IF(AND(I44&gt;40,I44&lt;=60),2,IF(AND(I44&gt;60,I44&lt;=80),3, IF(AND(I44&gt;80,I44&lt;=100),4,”5”)))))</f>
        <v>1</v>
      </c>
    </row>
    <row r="45" spans="1:10" x14ac:dyDescent="0.3">
      <c r="A45" t="str">
        <f t="shared" si="0"/>
        <v>59034_45</v>
      </c>
      <c r="B45">
        <f>VLOOKUP(C45,[1]lookuptable!$A$1:$C$7,2,0)</f>
        <v>59034</v>
      </c>
      <c r="C45" t="s">
        <v>8</v>
      </c>
      <c r="D45" s="1">
        <v>45</v>
      </c>
      <c r="E45">
        <v>1</v>
      </c>
      <c r="F45">
        <v>94</v>
      </c>
      <c r="G45">
        <v>95</v>
      </c>
      <c r="H45">
        <v>427</v>
      </c>
      <c r="I45" s="2">
        <v>22.248243559999999</v>
      </c>
      <c r="J45" cm="1">
        <f t="array" ref="J45">IF(AND(I45&gt;=0,I45&lt;=20),0,IF(AND(I45&gt;20,I45&lt;=40),1, IF(AND(I45&gt;40,I45&lt;=60),2,IF(AND(I45&gt;60,I45&lt;=80),3, IF(AND(I45&gt;80,I45&lt;=100),4,”5”)))))</f>
        <v>1</v>
      </c>
    </row>
    <row r="46" spans="1:10" x14ac:dyDescent="0.3">
      <c r="A46" t="str">
        <f t="shared" si="0"/>
        <v>59034_46</v>
      </c>
      <c r="B46">
        <f>VLOOKUP(C46,[1]lookuptable!$A$1:$C$7,2,0)</f>
        <v>59034</v>
      </c>
      <c r="C46" t="s">
        <v>8</v>
      </c>
      <c r="D46" s="1">
        <v>46</v>
      </c>
      <c r="E46">
        <v>0</v>
      </c>
      <c r="F46">
        <v>136</v>
      </c>
      <c r="G46">
        <v>136</v>
      </c>
      <c r="H46">
        <v>499</v>
      </c>
      <c r="I46" s="2">
        <v>27.25450902</v>
      </c>
      <c r="J46" cm="1">
        <f t="array" ref="J46">IF(AND(I46&gt;=0,I46&lt;=20),0,IF(AND(I46&gt;20,I46&lt;=40),1, IF(AND(I46&gt;40,I46&lt;=60),2,IF(AND(I46&gt;60,I46&lt;=80),3, IF(AND(I46&gt;80,I46&lt;=100),4,”5”)))))</f>
        <v>1</v>
      </c>
    </row>
    <row r="47" spans="1:10" x14ac:dyDescent="0.3">
      <c r="A47" t="str">
        <f t="shared" si="0"/>
        <v>59034_47</v>
      </c>
      <c r="B47">
        <f>VLOOKUP(C47,[1]lookuptable!$A$1:$C$7,2,0)</f>
        <v>59034</v>
      </c>
      <c r="C47" t="s">
        <v>8</v>
      </c>
      <c r="D47" s="1">
        <v>47</v>
      </c>
      <c r="E47">
        <v>1</v>
      </c>
      <c r="F47">
        <v>123</v>
      </c>
      <c r="G47">
        <v>124</v>
      </c>
      <c r="H47">
        <v>453</v>
      </c>
      <c r="I47" s="2">
        <v>27.37306843</v>
      </c>
      <c r="J47" cm="1">
        <f t="array" ref="J47">IF(AND(I47&gt;=0,I47&lt;=20),0,IF(AND(I47&gt;20,I47&lt;=40),1, IF(AND(I47&gt;40,I47&lt;=60),2,IF(AND(I47&gt;60,I47&lt;=80),3, IF(AND(I47&gt;80,I47&lt;=100),4,”5”)))))</f>
        <v>1</v>
      </c>
    </row>
    <row r="48" spans="1:10" x14ac:dyDescent="0.3">
      <c r="A48" t="str">
        <f t="shared" si="0"/>
        <v>59034_48</v>
      </c>
      <c r="B48">
        <f>VLOOKUP(C48,[1]lookuptable!$A$1:$C$7,2,0)</f>
        <v>59034</v>
      </c>
      <c r="C48" t="s">
        <v>8</v>
      </c>
      <c r="D48" s="1">
        <v>48</v>
      </c>
      <c r="E48">
        <v>0</v>
      </c>
      <c r="F48">
        <v>101</v>
      </c>
      <c r="G48">
        <v>101</v>
      </c>
      <c r="H48">
        <v>398</v>
      </c>
      <c r="I48" s="2">
        <v>25.37688442</v>
      </c>
      <c r="J48" cm="1">
        <f t="array" ref="J48">IF(AND(I48&gt;=0,I48&lt;=20),0,IF(AND(I48&gt;20,I48&lt;=40),1, IF(AND(I48&gt;40,I48&lt;=60),2,IF(AND(I48&gt;60,I48&lt;=80),3, IF(AND(I48&gt;80,I48&lt;=100),4,”5”)))))</f>
        <v>1</v>
      </c>
    </row>
    <row r="49" spans="1:10" x14ac:dyDescent="0.3">
      <c r="A49" t="str">
        <f t="shared" si="0"/>
        <v>59034_49</v>
      </c>
      <c r="B49">
        <f>VLOOKUP(C49,[1]lookuptable!$A$1:$C$7,2,0)</f>
        <v>59034</v>
      </c>
      <c r="C49" t="s">
        <v>8</v>
      </c>
      <c r="D49" s="1">
        <v>49</v>
      </c>
      <c r="E49">
        <v>0</v>
      </c>
      <c r="F49">
        <v>119</v>
      </c>
      <c r="G49">
        <v>119</v>
      </c>
      <c r="H49">
        <v>392</v>
      </c>
      <c r="I49" s="2">
        <v>30.35714286</v>
      </c>
      <c r="J49" cm="1">
        <f t="array" ref="J49">IF(AND(I49&gt;=0,I49&lt;=20),0,IF(AND(I49&gt;20,I49&lt;=40),1, IF(AND(I49&gt;40,I49&lt;=60),2,IF(AND(I49&gt;60,I49&lt;=80),3, IF(AND(I49&gt;80,I49&lt;=100),4,”5”)))))</f>
        <v>1</v>
      </c>
    </row>
    <row r="50" spans="1:10" x14ac:dyDescent="0.3">
      <c r="A50" t="str">
        <f t="shared" si="0"/>
        <v>59034_50</v>
      </c>
      <c r="B50">
        <f>VLOOKUP(C50,[1]lookuptable!$A$1:$C$7,2,0)</f>
        <v>59034</v>
      </c>
      <c r="C50" t="s">
        <v>8</v>
      </c>
      <c r="D50" s="1">
        <v>50</v>
      </c>
      <c r="E50">
        <v>0</v>
      </c>
      <c r="F50">
        <v>86</v>
      </c>
      <c r="G50">
        <v>86</v>
      </c>
      <c r="H50">
        <v>262</v>
      </c>
      <c r="I50" s="2">
        <v>32.824427479999997</v>
      </c>
      <c r="J50" cm="1">
        <f t="array" ref="J50">IF(AND(I50&gt;=0,I50&lt;=20),0,IF(AND(I50&gt;20,I50&lt;=40),1, IF(AND(I50&gt;40,I50&lt;=60),2,IF(AND(I50&gt;60,I50&lt;=80),3, IF(AND(I50&gt;80,I50&lt;=100),4,”5”)))))</f>
        <v>1</v>
      </c>
    </row>
    <row r="51" spans="1:10" x14ac:dyDescent="0.3">
      <c r="A51" t="str">
        <f t="shared" si="0"/>
        <v>59034_51</v>
      </c>
      <c r="B51">
        <f>VLOOKUP(C51,[1]lookuptable!$A$1:$C$7,2,0)</f>
        <v>59034</v>
      </c>
      <c r="C51" t="s">
        <v>8</v>
      </c>
      <c r="D51" s="1">
        <v>51</v>
      </c>
      <c r="E51">
        <v>53</v>
      </c>
      <c r="F51">
        <v>0</v>
      </c>
      <c r="G51">
        <v>0</v>
      </c>
      <c r="H51">
        <v>416</v>
      </c>
      <c r="I51" s="2">
        <f>((E51+G51)/H51)*100</f>
        <v>12.740384615384615</v>
      </c>
      <c r="J51" cm="1">
        <f t="array" ref="J51">IF(AND(I51&gt;=0,I51&lt;=20),0,IF(AND(I51&gt;20,I51&lt;=40),1, IF(AND(I51&gt;40,I51&lt;=60),2,IF(AND(I51&gt;60,I51&lt;=80),3, IF(AND(I51&gt;80,I51&lt;=100),4,”5”)))))</f>
        <v>0</v>
      </c>
    </row>
    <row r="52" spans="1:10" x14ac:dyDescent="0.3">
      <c r="A52" t="str">
        <f t="shared" si="0"/>
        <v>59034_52</v>
      </c>
      <c r="B52">
        <f>VLOOKUP(C52,[1]lookuptable!$A$1:$C$7,2,0)</f>
        <v>59034</v>
      </c>
      <c r="C52" t="s">
        <v>8</v>
      </c>
      <c r="D52" s="1">
        <v>52</v>
      </c>
      <c r="E52">
        <v>1</v>
      </c>
      <c r="F52">
        <v>141</v>
      </c>
      <c r="G52">
        <v>142</v>
      </c>
      <c r="H52">
        <v>469</v>
      </c>
      <c r="I52" s="2">
        <v>30.277185500000002</v>
      </c>
      <c r="J52" cm="1">
        <f t="array" ref="J52">IF(AND(I52&gt;=0,I52&lt;=20),0,IF(AND(I52&gt;20,I52&lt;=40),1, IF(AND(I52&gt;40,I52&lt;=60),2,IF(AND(I52&gt;60,I52&lt;=80),3, IF(AND(I52&gt;80,I52&lt;=100),4,”5”)))))</f>
        <v>1</v>
      </c>
    </row>
    <row r="53" spans="1:10" x14ac:dyDescent="0.3">
      <c r="A53" t="str">
        <f t="shared" si="0"/>
        <v>59034_53</v>
      </c>
      <c r="B53">
        <f>VLOOKUP(C53,[1]lookuptable!$A$1:$C$7,2,0)</f>
        <v>59034</v>
      </c>
      <c r="C53" t="s">
        <v>8</v>
      </c>
      <c r="D53" s="1">
        <v>53</v>
      </c>
      <c r="E53">
        <v>0</v>
      </c>
      <c r="F53">
        <v>288</v>
      </c>
      <c r="G53">
        <v>288</v>
      </c>
      <c r="H53">
        <v>523</v>
      </c>
      <c r="I53" s="2">
        <v>55.066921610000001</v>
      </c>
      <c r="J53" cm="1">
        <f t="array" ref="J53">IF(AND(I53&gt;=0,I53&lt;=20),0,IF(AND(I53&gt;20,I53&lt;=40),1, IF(AND(I53&gt;40,I53&lt;=60),2,IF(AND(I53&gt;60,I53&lt;=80),3, IF(AND(I53&gt;80,I53&lt;=100),4,”5”)))))</f>
        <v>2</v>
      </c>
    </row>
    <row r="54" spans="1:10" x14ac:dyDescent="0.3">
      <c r="A54" t="str">
        <f t="shared" si="0"/>
        <v>59034_54</v>
      </c>
      <c r="B54">
        <f>VLOOKUP(C54,[1]lookuptable!$A$1:$C$7,2,0)</f>
        <v>59034</v>
      </c>
      <c r="C54" t="s">
        <v>8</v>
      </c>
      <c r="D54" s="1">
        <v>54</v>
      </c>
      <c r="E54">
        <v>2</v>
      </c>
      <c r="F54">
        <v>209</v>
      </c>
      <c r="G54">
        <v>211</v>
      </c>
      <c r="H54">
        <v>376</v>
      </c>
      <c r="I54" s="2">
        <v>56.117021280000003</v>
      </c>
      <c r="J54" cm="1">
        <f t="array" ref="J54">IF(AND(I54&gt;=0,I54&lt;=20),0,IF(AND(I54&gt;20,I54&lt;=40),1, IF(AND(I54&gt;40,I54&lt;=60),2,IF(AND(I54&gt;60,I54&lt;=80),3, IF(AND(I54&gt;80,I54&lt;=100),4,”5”)))))</f>
        <v>2</v>
      </c>
    </row>
    <row r="55" spans="1:10" x14ac:dyDescent="0.3">
      <c r="A55" t="str">
        <f t="shared" si="0"/>
        <v>59034_55</v>
      </c>
      <c r="B55">
        <f>VLOOKUP(C55,[1]lookuptable!$A$1:$C$7,2,0)</f>
        <v>59034</v>
      </c>
      <c r="C55" t="s">
        <v>8</v>
      </c>
      <c r="D55" s="1">
        <v>55</v>
      </c>
      <c r="E55">
        <v>0</v>
      </c>
      <c r="F55">
        <v>132</v>
      </c>
      <c r="G55">
        <v>132</v>
      </c>
      <c r="H55">
        <v>516</v>
      </c>
      <c r="I55" s="2">
        <v>25.581395350000001</v>
      </c>
      <c r="J55" cm="1">
        <f t="array" ref="J55">IF(AND(I55&gt;=0,I55&lt;=20),0,IF(AND(I55&gt;20,I55&lt;=40),1, IF(AND(I55&gt;40,I55&lt;=60),2,IF(AND(I55&gt;60,I55&lt;=80),3, IF(AND(I55&gt;80,I55&lt;=100),4,”5”)))))</f>
        <v>1</v>
      </c>
    </row>
    <row r="56" spans="1:10" x14ac:dyDescent="0.3">
      <c r="A56" t="str">
        <f t="shared" si="0"/>
        <v>59034_56</v>
      </c>
      <c r="B56">
        <f>VLOOKUP(C56,[1]lookuptable!$A$1:$C$7,2,0)</f>
        <v>59034</v>
      </c>
      <c r="C56" t="s">
        <v>8</v>
      </c>
      <c r="D56" s="1">
        <v>56</v>
      </c>
      <c r="E56">
        <v>0</v>
      </c>
      <c r="F56">
        <v>84</v>
      </c>
      <c r="G56">
        <v>84</v>
      </c>
      <c r="H56">
        <v>368</v>
      </c>
      <c r="I56" s="2">
        <v>22.826086960000001</v>
      </c>
      <c r="J56" cm="1">
        <f t="array" ref="J56">IF(AND(I56&gt;=0,I56&lt;=20),0,IF(AND(I56&gt;20,I56&lt;=40),1, IF(AND(I56&gt;40,I56&lt;=60),2,IF(AND(I56&gt;60,I56&lt;=80),3, IF(AND(I56&gt;80,I56&lt;=100),4,”5”)))))</f>
        <v>1</v>
      </c>
    </row>
    <row r="57" spans="1:10" x14ac:dyDescent="0.3">
      <c r="A57" t="str">
        <f t="shared" si="0"/>
        <v>59034_57</v>
      </c>
      <c r="B57">
        <f>VLOOKUP(C57,[1]lookuptable!$A$1:$C$7,2,0)</f>
        <v>59034</v>
      </c>
      <c r="C57" t="s">
        <v>8</v>
      </c>
      <c r="D57" s="1">
        <v>57</v>
      </c>
      <c r="E57">
        <v>1</v>
      </c>
      <c r="F57">
        <v>128</v>
      </c>
      <c r="G57">
        <v>129</v>
      </c>
      <c r="H57">
        <v>434</v>
      </c>
      <c r="I57" s="2">
        <v>29.7235023</v>
      </c>
      <c r="J57" cm="1">
        <f t="array" ref="J57">IF(AND(I57&gt;=0,I57&lt;=20),0,IF(AND(I57&gt;20,I57&lt;=40),1, IF(AND(I57&gt;40,I57&lt;=60),2,IF(AND(I57&gt;60,I57&lt;=80),3, IF(AND(I57&gt;80,I57&lt;=100),4,”5”)))))</f>
        <v>1</v>
      </c>
    </row>
    <row r="58" spans="1:10" x14ac:dyDescent="0.3">
      <c r="A58" t="str">
        <f t="shared" si="0"/>
        <v>59034_58</v>
      </c>
      <c r="B58">
        <f>VLOOKUP(C58,[1]lookuptable!$A$1:$C$7,2,0)</f>
        <v>59034</v>
      </c>
      <c r="C58" t="s">
        <v>8</v>
      </c>
      <c r="D58" s="1">
        <v>58</v>
      </c>
      <c r="E58">
        <v>0</v>
      </c>
      <c r="F58">
        <v>105</v>
      </c>
      <c r="G58">
        <v>105</v>
      </c>
      <c r="H58">
        <v>317</v>
      </c>
      <c r="I58" s="2">
        <v>33.123028390000002</v>
      </c>
      <c r="J58" cm="1">
        <f t="array" ref="J58">IF(AND(I58&gt;=0,I58&lt;=20),0,IF(AND(I58&gt;20,I58&lt;=40),1, IF(AND(I58&gt;40,I58&lt;=60),2,IF(AND(I58&gt;60,I58&lt;=80),3, IF(AND(I58&gt;80,I58&lt;=100),4,”5”)))))</f>
        <v>1</v>
      </c>
    </row>
    <row r="59" spans="1:10" x14ac:dyDescent="0.3">
      <c r="A59" t="str">
        <f t="shared" si="0"/>
        <v>59034_59</v>
      </c>
      <c r="B59">
        <f>VLOOKUP(C59,[1]lookuptable!$A$1:$C$7,2,0)</f>
        <v>59034</v>
      </c>
      <c r="C59" t="s">
        <v>8</v>
      </c>
      <c r="D59" s="1">
        <v>59</v>
      </c>
      <c r="E59">
        <v>2</v>
      </c>
      <c r="F59">
        <v>116</v>
      </c>
      <c r="G59">
        <v>118</v>
      </c>
      <c r="H59">
        <v>447</v>
      </c>
      <c r="I59" s="2">
        <v>26.398210290000002</v>
      </c>
      <c r="J59" cm="1">
        <f t="array" ref="J59">IF(AND(I59&gt;=0,I59&lt;=20),0,IF(AND(I59&gt;20,I59&lt;=40),1, IF(AND(I59&gt;40,I59&lt;=60),2,IF(AND(I59&gt;60,I59&lt;=80),3, IF(AND(I59&gt;80,I59&lt;=100),4,”5”)))))</f>
        <v>1</v>
      </c>
    </row>
    <row r="60" spans="1:10" x14ac:dyDescent="0.3">
      <c r="A60" t="str">
        <f t="shared" si="0"/>
        <v>59034_60</v>
      </c>
      <c r="B60">
        <f>VLOOKUP(C60,[1]lookuptable!$A$1:$C$7,2,0)</f>
        <v>59034</v>
      </c>
      <c r="C60" t="s">
        <v>8</v>
      </c>
      <c r="D60" s="1">
        <v>60</v>
      </c>
      <c r="E60">
        <v>1</v>
      </c>
      <c r="F60">
        <v>169</v>
      </c>
      <c r="G60">
        <v>170</v>
      </c>
      <c r="H60">
        <v>525</v>
      </c>
      <c r="I60" s="2">
        <v>32.380952379999997</v>
      </c>
      <c r="J60" cm="1">
        <f t="array" ref="J60">IF(AND(I60&gt;=0,I60&lt;=20),0,IF(AND(I60&gt;20,I60&lt;=40),1, IF(AND(I60&gt;40,I60&lt;=60),2,IF(AND(I60&gt;60,I60&lt;=80),3, IF(AND(I60&gt;80,I60&lt;=100),4,”5”)))))</f>
        <v>1</v>
      </c>
    </row>
    <row r="61" spans="1:10" x14ac:dyDescent="0.3">
      <c r="A61" t="str">
        <f t="shared" si="0"/>
        <v>59034_61</v>
      </c>
      <c r="B61">
        <f>VLOOKUP(C61,[1]lookuptable!$A$1:$C$7,2,0)</f>
        <v>59034</v>
      </c>
      <c r="C61" t="s">
        <v>8</v>
      </c>
      <c r="D61" s="1">
        <v>61</v>
      </c>
      <c r="E61">
        <v>54</v>
      </c>
      <c r="F61">
        <v>0</v>
      </c>
      <c r="G61">
        <v>0</v>
      </c>
      <c r="H61">
        <v>353</v>
      </c>
      <c r="I61" s="2">
        <f>((E61+G61)/H61)*100</f>
        <v>15.297450424929179</v>
      </c>
      <c r="J61" cm="1">
        <f t="array" ref="J61">IF(AND(I61&gt;=0,I61&lt;=20),0,IF(AND(I61&gt;20,I61&lt;=40),1, IF(AND(I61&gt;40,I61&lt;=60),2,IF(AND(I61&gt;60,I61&lt;=80),3, IF(AND(I61&gt;80,I61&lt;=100),4,”5”)))))</f>
        <v>0</v>
      </c>
    </row>
    <row r="62" spans="1:10" x14ac:dyDescent="0.3">
      <c r="A62" t="str">
        <f t="shared" si="0"/>
        <v>59034_62</v>
      </c>
      <c r="B62">
        <f>VLOOKUP(C62,[1]lookuptable!$A$1:$C$7,2,0)</f>
        <v>59034</v>
      </c>
      <c r="C62" t="s">
        <v>8</v>
      </c>
      <c r="D62" s="1">
        <v>62</v>
      </c>
      <c r="E62">
        <v>0</v>
      </c>
      <c r="F62">
        <v>145</v>
      </c>
      <c r="G62">
        <v>145</v>
      </c>
      <c r="H62">
        <v>417</v>
      </c>
      <c r="I62" s="2">
        <v>34.77218225</v>
      </c>
      <c r="J62" cm="1">
        <f t="array" ref="J62">IF(AND(I62&gt;=0,I62&lt;=20),0,IF(AND(I62&gt;20,I62&lt;=40),1, IF(AND(I62&gt;40,I62&lt;=60),2,IF(AND(I62&gt;60,I62&lt;=80),3, IF(AND(I62&gt;80,I62&lt;=100),4,”5”)))))</f>
        <v>1</v>
      </c>
    </row>
    <row r="63" spans="1:10" x14ac:dyDescent="0.3">
      <c r="A63" t="str">
        <f t="shared" si="0"/>
        <v>59034_63</v>
      </c>
      <c r="B63">
        <f>VLOOKUP(C63,[1]lookuptable!$A$1:$C$7,2,0)</f>
        <v>59034</v>
      </c>
      <c r="C63" t="s">
        <v>8</v>
      </c>
      <c r="D63" s="1">
        <v>63</v>
      </c>
      <c r="E63">
        <v>1</v>
      </c>
      <c r="F63">
        <v>104</v>
      </c>
      <c r="G63">
        <v>105</v>
      </c>
      <c r="H63">
        <v>443</v>
      </c>
      <c r="I63" s="2">
        <v>23.702031600000002</v>
      </c>
      <c r="J63" cm="1">
        <f t="array" ref="J63">IF(AND(I63&gt;=0,I63&lt;=20),0,IF(AND(I63&gt;20,I63&lt;=40),1, IF(AND(I63&gt;40,I63&lt;=60),2,IF(AND(I63&gt;60,I63&lt;=80),3, IF(AND(I63&gt;80,I63&lt;=100),4,”5”)))))</f>
        <v>1</v>
      </c>
    </row>
    <row r="64" spans="1:10" x14ac:dyDescent="0.3">
      <c r="A64" t="str">
        <f t="shared" si="0"/>
        <v>59034_64</v>
      </c>
      <c r="B64">
        <f>VLOOKUP(C64,[1]lookuptable!$A$1:$C$7,2,0)</f>
        <v>59034</v>
      </c>
      <c r="C64" t="s">
        <v>8</v>
      </c>
      <c r="D64" s="1">
        <v>64</v>
      </c>
      <c r="E64">
        <v>0</v>
      </c>
      <c r="F64">
        <v>116</v>
      </c>
      <c r="G64">
        <v>116</v>
      </c>
      <c r="H64">
        <v>434</v>
      </c>
      <c r="I64" s="2">
        <v>26.728110600000001</v>
      </c>
      <c r="J64" cm="1">
        <f t="array" ref="J64">IF(AND(I64&gt;=0,I64&lt;=20),0,IF(AND(I64&gt;20,I64&lt;=40),1, IF(AND(I64&gt;40,I64&lt;=60),2,IF(AND(I64&gt;60,I64&lt;=80),3, IF(AND(I64&gt;80,I64&lt;=100),4,”5”)))))</f>
        <v>1</v>
      </c>
    </row>
    <row r="65" spans="1:10" x14ac:dyDescent="0.3">
      <c r="A65" t="str">
        <f t="shared" si="0"/>
        <v>59034_65</v>
      </c>
      <c r="B65">
        <f>VLOOKUP(C65,[1]lookuptable!$A$1:$C$7,2,0)</f>
        <v>59034</v>
      </c>
      <c r="C65" t="s">
        <v>8</v>
      </c>
      <c r="D65" s="1">
        <v>65</v>
      </c>
      <c r="E65">
        <v>1</v>
      </c>
      <c r="F65">
        <v>169</v>
      </c>
      <c r="G65">
        <v>170</v>
      </c>
      <c r="H65">
        <v>511</v>
      </c>
      <c r="I65" s="2">
        <v>33.26810176</v>
      </c>
      <c r="J65" cm="1">
        <f t="array" ref="J65">IF(AND(I65&gt;=0,I65&lt;=20),0,IF(AND(I65&gt;20,I65&lt;=40),1, IF(AND(I65&gt;40,I65&lt;=60),2,IF(AND(I65&gt;60,I65&lt;=80),3, IF(AND(I65&gt;80,I65&lt;=100),4,”5”)))))</f>
        <v>1</v>
      </c>
    </row>
    <row r="66" spans="1:10" x14ac:dyDescent="0.3">
      <c r="A66" t="str">
        <f t="shared" ref="A66:A129" si="1">CONCATENATE(B66,"_",D66)</f>
        <v>59034_66</v>
      </c>
      <c r="B66">
        <f>VLOOKUP(C66,[1]lookuptable!$A$1:$C$7,2,0)</f>
        <v>59034</v>
      </c>
      <c r="C66" t="s">
        <v>8</v>
      </c>
      <c r="D66" s="1">
        <v>66</v>
      </c>
      <c r="E66">
        <v>1</v>
      </c>
      <c r="F66">
        <v>116</v>
      </c>
      <c r="G66">
        <v>117</v>
      </c>
      <c r="H66">
        <v>410</v>
      </c>
      <c r="I66" s="2">
        <v>28.536585370000001</v>
      </c>
      <c r="J66" cm="1">
        <f t="array" ref="J66">IF(AND(I66&gt;=0,I66&lt;=20),0,IF(AND(I66&gt;20,I66&lt;=40),1, IF(AND(I66&gt;40,I66&lt;=60),2,IF(AND(I66&gt;60,I66&lt;=80),3, IF(AND(I66&gt;80,I66&lt;=100),4,”5”)))))</f>
        <v>1</v>
      </c>
    </row>
    <row r="67" spans="1:10" x14ac:dyDescent="0.3">
      <c r="A67" t="str">
        <f t="shared" si="1"/>
        <v>59034_67</v>
      </c>
      <c r="B67">
        <f>VLOOKUP(C67,[1]lookuptable!$A$1:$C$7,2,0)</f>
        <v>59034</v>
      </c>
      <c r="C67" t="s">
        <v>8</v>
      </c>
      <c r="D67" s="1">
        <v>67</v>
      </c>
      <c r="E67">
        <v>0</v>
      </c>
      <c r="F67">
        <v>119</v>
      </c>
      <c r="G67">
        <v>119</v>
      </c>
      <c r="H67">
        <v>353</v>
      </c>
      <c r="I67" s="2">
        <v>33.711048159999997</v>
      </c>
      <c r="J67" cm="1">
        <f t="array" ref="J67">IF(AND(I67&gt;=0,I67&lt;=20),0,IF(AND(I67&gt;20,I67&lt;=40),1, IF(AND(I67&gt;40,I67&lt;=60),2,IF(AND(I67&gt;60,I67&lt;=80),3, IF(AND(I67&gt;80,I67&lt;=100),4,”5”)))))</f>
        <v>1</v>
      </c>
    </row>
    <row r="68" spans="1:10" x14ac:dyDescent="0.3">
      <c r="A68" t="str">
        <f t="shared" si="1"/>
        <v>59034_68</v>
      </c>
      <c r="B68">
        <f>VLOOKUP(C68,[1]lookuptable!$A$1:$C$7,2,0)</f>
        <v>59034</v>
      </c>
      <c r="C68" t="s">
        <v>8</v>
      </c>
      <c r="D68" s="1">
        <v>68</v>
      </c>
      <c r="E68">
        <v>1</v>
      </c>
      <c r="F68">
        <v>106</v>
      </c>
      <c r="G68">
        <v>107</v>
      </c>
      <c r="H68">
        <v>342</v>
      </c>
      <c r="I68" s="2">
        <v>31.286549709999999</v>
      </c>
      <c r="J68" cm="1">
        <f t="array" ref="J68">IF(AND(I68&gt;=0,I68&lt;=20),0,IF(AND(I68&gt;20,I68&lt;=40),1, IF(AND(I68&gt;40,I68&lt;=60),2,IF(AND(I68&gt;60,I68&lt;=80),3, IF(AND(I68&gt;80,I68&lt;=100),4,”5”)))))</f>
        <v>1</v>
      </c>
    </row>
    <row r="69" spans="1:10" x14ac:dyDescent="0.3">
      <c r="A69" t="str">
        <f t="shared" si="1"/>
        <v>59034_69</v>
      </c>
      <c r="B69">
        <f>VLOOKUP(C69,[1]lookuptable!$A$1:$C$7,2,0)</f>
        <v>59034</v>
      </c>
      <c r="C69" t="s">
        <v>8</v>
      </c>
      <c r="D69" s="1">
        <v>69</v>
      </c>
      <c r="E69">
        <v>1</v>
      </c>
      <c r="F69">
        <v>140</v>
      </c>
      <c r="G69">
        <v>141</v>
      </c>
      <c r="H69">
        <v>482</v>
      </c>
      <c r="I69" s="2">
        <v>29.25311203</v>
      </c>
      <c r="J69" cm="1">
        <f t="array" ref="J69">IF(AND(I69&gt;=0,I69&lt;=20),0,IF(AND(I69&gt;20,I69&lt;=40),1, IF(AND(I69&gt;40,I69&lt;=60),2,IF(AND(I69&gt;60,I69&lt;=80),3, IF(AND(I69&gt;80,I69&lt;=100),4,”5”)))))</f>
        <v>1</v>
      </c>
    </row>
    <row r="70" spans="1:10" x14ac:dyDescent="0.3">
      <c r="A70" t="str">
        <f t="shared" si="1"/>
        <v>59034_70</v>
      </c>
      <c r="B70">
        <f>VLOOKUP(C70,[1]lookuptable!$A$1:$C$7,2,0)</f>
        <v>59034</v>
      </c>
      <c r="C70" t="s">
        <v>8</v>
      </c>
      <c r="D70" s="1">
        <v>70</v>
      </c>
      <c r="E70">
        <v>0</v>
      </c>
      <c r="F70">
        <v>75</v>
      </c>
      <c r="G70">
        <v>75</v>
      </c>
      <c r="H70">
        <v>294</v>
      </c>
      <c r="I70" s="2">
        <v>25.510204080000001</v>
      </c>
      <c r="J70" cm="1">
        <f t="array" ref="J70">IF(AND(I70&gt;=0,I70&lt;=20),0,IF(AND(I70&gt;20,I70&lt;=40),1, IF(AND(I70&gt;40,I70&lt;=60),2,IF(AND(I70&gt;60,I70&lt;=80),3, IF(AND(I70&gt;80,I70&lt;=100),4,”5”)))))</f>
        <v>1</v>
      </c>
    </row>
    <row r="71" spans="1:10" x14ac:dyDescent="0.3">
      <c r="A71" t="str">
        <f t="shared" si="1"/>
        <v>59034_71</v>
      </c>
      <c r="B71">
        <f>VLOOKUP(C71,[1]lookuptable!$A$1:$C$7,2,0)</f>
        <v>59034</v>
      </c>
      <c r="C71" t="s">
        <v>8</v>
      </c>
      <c r="D71" s="1">
        <v>71</v>
      </c>
      <c r="E71">
        <v>0</v>
      </c>
      <c r="F71">
        <v>117</v>
      </c>
      <c r="G71">
        <v>117</v>
      </c>
      <c r="H71">
        <v>400</v>
      </c>
      <c r="I71" s="2">
        <v>29.25</v>
      </c>
      <c r="J71" cm="1">
        <f t="array" ref="J71">IF(AND(I71&gt;=0,I71&lt;=20),0,IF(AND(I71&gt;20,I71&lt;=40),1, IF(AND(I71&gt;40,I71&lt;=60),2,IF(AND(I71&gt;60,I71&lt;=80),3, IF(AND(I71&gt;80,I71&lt;=100),4,”5”)))))</f>
        <v>1</v>
      </c>
    </row>
    <row r="72" spans="1:10" x14ac:dyDescent="0.3">
      <c r="A72" t="str">
        <f t="shared" si="1"/>
        <v>59034_72</v>
      </c>
      <c r="B72">
        <f>VLOOKUP(C72,[1]lookuptable!$A$1:$C$7,2,0)</f>
        <v>59034</v>
      </c>
      <c r="C72" t="s">
        <v>8</v>
      </c>
      <c r="D72" s="1">
        <v>72</v>
      </c>
      <c r="E72">
        <v>0</v>
      </c>
      <c r="F72">
        <v>118</v>
      </c>
      <c r="G72">
        <v>118</v>
      </c>
      <c r="H72">
        <v>475</v>
      </c>
      <c r="I72" s="2">
        <v>24.84210526</v>
      </c>
      <c r="J72" cm="1">
        <f t="array" ref="J72">IF(AND(I72&gt;=0,I72&lt;=20),0,IF(AND(I72&gt;20,I72&lt;=40),1, IF(AND(I72&gt;40,I72&lt;=60),2,IF(AND(I72&gt;60,I72&lt;=80),3, IF(AND(I72&gt;80,I72&lt;=100),4,”5”)))))</f>
        <v>1</v>
      </c>
    </row>
    <row r="73" spans="1:10" x14ac:dyDescent="0.3">
      <c r="A73" t="str">
        <f t="shared" si="1"/>
        <v>59034_73</v>
      </c>
      <c r="B73">
        <f>VLOOKUP(C73,[1]lookuptable!$A$1:$C$7,2,0)</f>
        <v>59034</v>
      </c>
      <c r="C73" t="s">
        <v>8</v>
      </c>
      <c r="D73" s="1">
        <v>73</v>
      </c>
      <c r="E73">
        <v>1</v>
      </c>
      <c r="F73">
        <v>128</v>
      </c>
      <c r="G73">
        <v>129</v>
      </c>
      <c r="H73">
        <v>472</v>
      </c>
      <c r="I73" s="2">
        <v>27.330508470000002</v>
      </c>
      <c r="J73" cm="1">
        <f t="array" ref="J73">IF(AND(I73&gt;=0,I73&lt;=20),0,IF(AND(I73&gt;20,I73&lt;=40),1, IF(AND(I73&gt;40,I73&lt;=60),2,IF(AND(I73&gt;60,I73&lt;=80),3, IF(AND(I73&gt;80,I73&lt;=100),4,”5”)))))</f>
        <v>1</v>
      </c>
    </row>
    <row r="74" spans="1:10" x14ac:dyDescent="0.3">
      <c r="A74" t="str">
        <f t="shared" si="1"/>
        <v>59034_74</v>
      </c>
      <c r="B74">
        <f>VLOOKUP(C74,[1]lookuptable!$A$1:$C$7,2,0)</f>
        <v>59034</v>
      </c>
      <c r="C74" t="s">
        <v>8</v>
      </c>
      <c r="D74" s="1">
        <v>74</v>
      </c>
      <c r="E74">
        <v>1</v>
      </c>
      <c r="F74">
        <v>132</v>
      </c>
      <c r="G74">
        <v>133</v>
      </c>
      <c r="H74">
        <v>495</v>
      </c>
      <c r="I74" s="2">
        <v>26.868686870000001</v>
      </c>
      <c r="J74" cm="1">
        <f t="array" ref="J74">IF(AND(I74&gt;=0,I74&lt;=20),0,IF(AND(I74&gt;20,I74&lt;=40),1, IF(AND(I74&gt;40,I74&lt;=60),2,IF(AND(I74&gt;60,I74&lt;=80),3, IF(AND(I74&gt;80,I74&lt;=100),4,”5”)))))</f>
        <v>1</v>
      </c>
    </row>
    <row r="75" spans="1:10" x14ac:dyDescent="0.3">
      <c r="A75" t="str">
        <f t="shared" si="1"/>
        <v>59034_75</v>
      </c>
      <c r="B75">
        <f>VLOOKUP(C75,[1]lookuptable!$A$1:$C$7,2,0)</f>
        <v>59034</v>
      </c>
      <c r="C75" t="s">
        <v>8</v>
      </c>
      <c r="D75" s="1">
        <v>75</v>
      </c>
      <c r="E75">
        <v>1</v>
      </c>
      <c r="F75">
        <v>125</v>
      </c>
      <c r="G75">
        <v>126</v>
      </c>
      <c r="H75">
        <v>639</v>
      </c>
      <c r="I75" s="2">
        <v>19.718309860000002</v>
      </c>
      <c r="J75" cm="1">
        <f t="array" ref="J75">IF(AND(I75&gt;=0,I75&lt;=20),0,IF(AND(I75&gt;20,I75&lt;=40),1, IF(AND(I75&gt;40,I75&lt;=60),2,IF(AND(I75&gt;60,I75&lt;=80),3, IF(AND(I75&gt;80,I75&lt;=100),4,”5”)))))</f>
        <v>0</v>
      </c>
    </row>
    <row r="76" spans="1:10" x14ac:dyDescent="0.3">
      <c r="A76" t="str">
        <f t="shared" si="1"/>
        <v>59034_76</v>
      </c>
      <c r="B76">
        <f>VLOOKUP(C76,[1]lookuptable!$A$1:$C$7,2,0)</f>
        <v>59034</v>
      </c>
      <c r="C76" t="s">
        <v>8</v>
      </c>
      <c r="D76" s="1">
        <v>76</v>
      </c>
      <c r="E76">
        <v>2</v>
      </c>
      <c r="F76">
        <v>118</v>
      </c>
      <c r="G76">
        <v>120</v>
      </c>
      <c r="H76">
        <v>701</v>
      </c>
      <c r="I76" s="2">
        <v>17.118402280000002</v>
      </c>
      <c r="J76" cm="1">
        <f t="array" ref="J76">IF(AND(I76&gt;=0,I76&lt;=20),0,IF(AND(I76&gt;20,I76&lt;=40),1, IF(AND(I76&gt;40,I76&lt;=60),2,IF(AND(I76&gt;60,I76&lt;=80),3, IF(AND(I76&gt;80,I76&lt;=100),4,”5”)))))</f>
        <v>0</v>
      </c>
    </row>
    <row r="77" spans="1:10" x14ac:dyDescent="0.3">
      <c r="A77" t="str">
        <f t="shared" si="1"/>
        <v>59034_77</v>
      </c>
      <c r="B77">
        <f>VLOOKUP(C77,[1]lookuptable!$A$1:$C$7,2,0)</f>
        <v>59034</v>
      </c>
      <c r="C77" t="s">
        <v>8</v>
      </c>
      <c r="D77" s="1">
        <v>77</v>
      </c>
      <c r="E77">
        <v>4</v>
      </c>
      <c r="F77">
        <v>123</v>
      </c>
      <c r="G77">
        <v>127</v>
      </c>
      <c r="H77">
        <v>459</v>
      </c>
      <c r="I77" s="2">
        <v>27.668845319999999</v>
      </c>
      <c r="J77" cm="1">
        <f t="array" ref="J77">IF(AND(I77&gt;=0,I77&lt;=20),0,IF(AND(I77&gt;20,I77&lt;=40),1, IF(AND(I77&gt;40,I77&lt;=60),2,IF(AND(I77&gt;60,I77&lt;=80),3, IF(AND(I77&gt;80,I77&lt;=100),4,”5”)))))</f>
        <v>1</v>
      </c>
    </row>
    <row r="78" spans="1:10" x14ac:dyDescent="0.3">
      <c r="A78" t="str">
        <f t="shared" si="1"/>
        <v>59034_78</v>
      </c>
      <c r="B78">
        <f>VLOOKUP(C78,[1]lookuptable!$A$1:$C$7,2,0)</f>
        <v>59034</v>
      </c>
      <c r="C78" t="s">
        <v>8</v>
      </c>
      <c r="D78" s="1">
        <v>78</v>
      </c>
      <c r="E78">
        <v>1</v>
      </c>
      <c r="F78">
        <v>122</v>
      </c>
      <c r="G78">
        <v>123</v>
      </c>
      <c r="H78">
        <v>425</v>
      </c>
      <c r="I78" s="2">
        <v>28.941176469999998</v>
      </c>
      <c r="J78" cm="1">
        <f t="array" ref="J78">IF(AND(I78&gt;=0,I78&lt;=20),0,IF(AND(I78&gt;20,I78&lt;=40),1, IF(AND(I78&gt;40,I78&lt;=60),2,IF(AND(I78&gt;60,I78&lt;=80),3, IF(AND(I78&gt;80,I78&lt;=100),4,”5”)))))</f>
        <v>1</v>
      </c>
    </row>
    <row r="79" spans="1:10" x14ac:dyDescent="0.3">
      <c r="A79" t="str">
        <f t="shared" si="1"/>
        <v>59034_79</v>
      </c>
      <c r="B79">
        <f>VLOOKUP(C79,[1]lookuptable!$A$1:$C$7,2,0)</f>
        <v>59034</v>
      </c>
      <c r="C79" t="s">
        <v>8</v>
      </c>
      <c r="D79" s="1">
        <v>79</v>
      </c>
      <c r="E79">
        <v>33</v>
      </c>
      <c r="F79">
        <v>0</v>
      </c>
      <c r="G79">
        <v>0</v>
      </c>
      <c r="H79">
        <v>278</v>
      </c>
      <c r="I79" s="2">
        <f>((E79+G79)/H79)*100</f>
        <v>11.870503597122301</v>
      </c>
      <c r="J79" cm="1">
        <f t="array" ref="J79">IF(AND(I79&gt;=0,I79&lt;=20),0,IF(AND(I79&gt;20,I79&lt;=40),1, IF(AND(I79&gt;40,I79&lt;=60),2,IF(AND(I79&gt;60,I79&lt;=80),3, IF(AND(I79&gt;80,I79&lt;=100),4,”5”)))))</f>
        <v>0</v>
      </c>
    </row>
    <row r="80" spans="1:10" x14ac:dyDescent="0.3">
      <c r="A80" t="str">
        <f t="shared" si="1"/>
        <v>59034_80</v>
      </c>
      <c r="B80">
        <f>VLOOKUP(C80,[1]lookuptable!$A$1:$C$7,2,0)</f>
        <v>59034</v>
      </c>
      <c r="C80" t="s">
        <v>8</v>
      </c>
      <c r="D80" s="1">
        <v>80</v>
      </c>
      <c r="E80">
        <v>1</v>
      </c>
      <c r="F80">
        <v>110</v>
      </c>
      <c r="G80">
        <v>111</v>
      </c>
      <c r="H80">
        <v>314</v>
      </c>
      <c r="I80" s="2">
        <v>35.350318469999998</v>
      </c>
      <c r="J80" cm="1">
        <f t="array" ref="J80">IF(AND(I80&gt;=0,I80&lt;=20),0,IF(AND(I80&gt;20,I80&lt;=40),1, IF(AND(I80&gt;40,I80&lt;=60),2,IF(AND(I80&gt;60,I80&lt;=80),3, IF(AND(I80&gt;80,I80&lt;=100),4,”5”)))))</f>
        <v>1</v>
      </c>
    </row>
    <row r="81" spans="1:10" x14ac:dyDescent="0.3">
      <c r="A81" t="str">
        <f t="shared" si="1"/>
        <v>59034_81</v>
      </c>
      <c r="B81">
        <f>VLOOKUP(C81,[1]lookuptable!$A$1:$C$7,2,0)</f>
        <v>59034</v>
      </c>
      <c r="C81" t="s">
        <v>8</v>
      </c>
      <c r="D81" s="1">
        <v>81</v>
      </c>
      <c r="E81">
        <v>0</v>
      </c>
      <c r="F81">
        <v>91</v>
      </c>
      <c r="G81">
        <v>91</v>
      </c>
      <c r="H81">
        <v>348</v>
      </c>
      <c r="I81" s="2">
        <v>26.14942529</v>
      </c>
      <c r="J81" cm="1">
        <f t="array" ref="J81">IF(AND(I81&gt;=0,I81&lt;=20),0,IF(AND(I81&gt;20,I81&lt;=40),1, IF(AND(I81&gt;40,I81&lt;=60),2,IF(AND(I81&gt;60,I81&lt;=80),3, IF(AND(I81&gt;80,I81&lt;=100),4,”5”)))))</f>
        <v>1</v>
      </c>
    </row>
    <row r="82" spans="1:10" x14ac:dyDescent="0.3">
      <c r="A82" t="str">
        <f t="shared" si="1"/>
        <v>59034_82</v>
      </c>
      <c r="B82">
        <f>VLOOKUP(C82,[1]lookuptable!$A$1:$C$7,2,0)</f>
        <v>59034</v>
      </c>
      <c r="C82" t="s">
        <v>8</v>
      </c>
      <c r="D82" s="1">
        <v>82</v>
      </c>
      <c r="E82">
        <v>1</v>
      </c>
      <c r="F82">
        <v>114</v>
      </c>
      <c r="G82">
        <v>115</v>
      </c>
      <c r="H82">
        <v>469</v>
      </c>
      <c r="I82" s="2">
        <v>24.520255859999999</v>
      </c>
      <c r="J82" cm="1">
        <f t="array" ref="J82">IF(AND(I82&gt;=0,I82&lt;=20),0,IF(AND(I82&gt;20,I82&lt;=40),1, IF(AND(I82&gt;40,I82&lt;=60),2,IF(AND(I82&gt;60,I82&lt;=80),3, IF(AND(I82&gt;80,I82&lt;=100),4,”5”)))))</f>
        <v>1</v>
      </c>
    </row>
    <row r="83" spans="1:10" x14ac:dyDescent="0.3">
      <c r="A83" t="str">
        <f t="shared" si="1"/>
        <v>59034_83</v>
      </c>
      <c r="B83">
        <f>VLOOKUP(C83,[1]lookuptable!$A$1:$C$7,2,0)</f>
        <v>59034</v>
      </c>
      <c r="C83" t="s">
        <v>8</v>
      </c>
      <c r="D83" s="1">
        <v>83</v>
      </c>
      <c r="E83">
        <v>1</v>
      </c>
      <c r="F83">
        <v>102</v>
      </c>
      <c r="G83">
        <v>103</v>
      </c>
      <c r="H83">
        <v>597</v>
      </c>
      <c r="I83" s="2">
        <v>17.252931319999998</v>
      </c>
      <c r="J83" cm="1">
        <f t="array" ref="J83">IF(AND(I83&gt;=0,I83&lt;=20),0,IF(AND(I83&gt;20,I83&lt;=40),1, IF(AND(I83&gt;40,I83&lt;=60),2,IF(AND(I83&gt;60,I83&lt;=80),3, IF(AND(I83&gt;80,I83&lt;=100),4,”5”)))))</f>
        <v>0</v>
      </c>
    </row>
    <row r="84" spans="1:10" x14ac:dyDescent="0.3">
      <c r="A84" t="str">
        <f t="shared" si="1"/>
        <v>59034_85</v>
      </c>
      <c r="B84">
        <f>VLOOKUP(C84,[1]lookuptable!$A$1:$C$7,2,0)</f>
        <v>59034</v>
      </c>
      <c r="C84" t="s">
        <v>8</v>
      </c>
      <c r="D84" s="1">
        <v>85</v>
      </c>
      <c r="E84">
        <v>0</v>
      </c>
      <c r="F84">
        <v>241</v>
      </c>
      <c r="G84">
        <v>241</v>
      </c>
      <c r="H84">
        <v>397</v>
      </c>
      <c r="I84" s="2">
        <v>60.705289669999999</v>
      </c>
      <c r="J84" cm="1">
        <f t="array" ref="J84">IF(AND(I84&gt;=0,I84&lt;=20),0,IF(AND(I84&gt;20,I84&lt;=40),1, IF(AND(I84&gt;40,I84&lt;=60),2,IF(AND(I84&gt;60,I84&lt;=80),3, IF(AND(I84&gt;80,I84&lt;=100),4,”5”)))))</f>
        <v>3</v>
      </c>
    </row>
    <row r="85" spans="1:10" x14ac:dyDescent="0.3">
      <c r="A85" t="str">
        <f t="shared" si="1"/>
        <v>59034_86</v>
      </c>
      <c r="B85">
        <f>VLOOKUP(C85,[1]lookuptable!$A$1:$C$7,2,0)</f>
        <v>59034</v>
      </c>
      <c r="C85" t="s">
        <v>8</v>
      </c>
      <c r="D85" s="1">
        <v>86</v>
      </c>
      <c r="E85">
        <v>85</v>
      </c>
      <c r="F85">
        <v>0</v>
      </c>
      <c r="G85">
        <v>0</v>
      </c>
      <c r="H85">
        <v>356</v>
      </c>
      <c r="I85" s="2">
        <f>((E85+G85)/H85)*100</f>
        <v>23.876404494382022</v>
      </c>
      <c r="J85" cm="1">
        <f t="array" ref="J85">IF(AND(I85&gt;=0,I85&lt;=20),0,IF(AND(I85&gt;20,I85&lt;=40),1, IF(AND(I85&gt;40,I85&lt;=60),2,IF(AND(I85&gt;60,I85&lt;=80),3, IF(AND(I85&gt;80,I85&lt;=100),4,”5”)))))</f>
        <v>1</v>
      </c>
    </row>
    <row r="86" spans="1:10" x14ac:dyDescent="0.3">
      <c r="A86" t="str">
        <f t="shared" si="1"/>
        <v>59034_87</v>
      </c>
      <c r="B86">
        <f>VLOOKUP(C86,[1]lookuptable!$A$1:$C$7,2,0)</f>
        <v>59034</v>
      </c>
      <c r="C86" t="s">
        <v>8</v>
      </c>
      <c r="D86" s="1">
        <v>87</v>
      </c>
      <c r="E86">
        <v>0</v>
      </c>
      <c r="F86">
        <v>135</v>
      </c>
      <c r="G86">
        <v>135</v>
      </c>
      <c r="H86">
        <v>409</v>
      </c>
      <c r="I86" s="2">
        <v>33.007334960000001</v>
      </c>
      <c r="J86" cm="1">
        <f t="array" ref="J86">IF(AND(I86&gt;=0,I86&lt;=20),0,IF(AND(I86&gt;20,I86&lt;=40),1, IF(AND(I86&gt;40,I86&lt;=60),2,IF(AND(I86&gt;60,I86&lt;=80),3, IF(AND(I86&gt;80,I86&lt;=100),4,”5”)))))</f>
        <v>1</v>
      </c>
    </row>
    <row r="87" spans="1:10" x14ac:dyDescent="0.3">
      <c r="A87" t="str">
        <f t="shared" si="1"/>
        <v>59034_88</v>
      </c>
      <c r="B87">
        <f>VLOOKUP(C87,[1]lookuptable!$A$1:$C$7,2,0)</f>
        <v>59034</v>
      </c>
      <c r="C87" t="s">
        <v>8</v>
      </c>
      <c r="D87" s="1">
        <v>88</v>
      </c>
      <c r="E87">
        <v>91</v>
      </c>
      <c r="F87">
        <v>0</v>
      </c>
      <c r="G87">
        <v>0</v>
      </c>
      <c r="H87">
        <v>395</v>
      </c>
      <c r="I87" s="2">
        <f t="shared" ref="I87:I88" si="2">((E87+G87)/H87)*100</f>
        <v>23.037974683544306</v>
      </c>
      <c r="J87" cm="1">
        <f t="array" ref="J87">IF(AND(I87&gt;=0,I87&lt;=20),0,IF(AND(I87&gt;20,I87&lt;=40),1, IF(AND(I87&gt;40,I87&lt;=60),2,IF(AND(I87&gt;60,I87&lt;=80),3, IF(AND(I87&gt;80,I87&lt;=100),4,”5”)))))</f>
        <v>1</v>
      </c>
    </row>
    <row r="88" spans="1:10" x14ac:dyDescent="0.3">
      <c r="A88" t="str">
        <f t="shared" si="1"/>
        <v>59034_89</v>
      </c>
      <c r="B88">
        <f>VLOOKUP(C88,[1]lookuptable!$A$1:$C$7,2,0)</f>
        <v>59034</v>
      </c>
      <c r="C88" t="s">
        <v>8</v>
      </c>
      <c r="D88" s="1">
        <v>89</v>
      </c>
      <c r="E88">
        <v>94</v>
      </c>
      <c r="F88">
        <v>0</v>
      </c>
      <c r="G88">
        <v>0</v>
      </c>
      <c r="H88">
        <v>387</v>
      </c>
      <c r="I88" s="2">
        <f t="shared" si="2"/>
        <v>24.289405684754524</v>
      </c>
      <c r="J88" cm="1">
        <f t="array" ref="J88">IF(AND(I88&gt;=0,I88&lt;=20),0,IF(AND(I88&gt;20,I88&lt;=40),1, IF(AND(I88&gt;40,I88&lt;=60),2,IF(AND(I88&gt;60,I88&lt;=80),3, IF(AND(I88&gt;80,I88&lt;=100),4,”5”)))))</f>
        <v>1</v>
      </c>
    </row>
    <row r="89" spans="1:10" x14ac:dyDescent="0.3">
      <c r="A89" t="str">
        <f t="shared" si="1"/>
        <v>59034_90</v>
      </c>
      <c r="B89">
        <f>VLOOKUP(C89,[1]lookuptable!$A$1:$C$7,2,0)</f>
        <v>59034</v>
      </c>
      <c r="C89" t="s">
        <v>8</v>
      </c>
      <c r="D89" s="1">
        <v>90</v>
      </c>
      <c r="E89">
        <v>1</v>
      </c>
      <c r="F89">
        <v>173</v>
      </c>
      <c r="G89">
        <v>174</v>
      </c>
      <c r="H89">
        <v>453</v>
      </c>
      <c r="I89" s="2">
        <v>38.410596030000001</v>
      </c>
      <c r="J89" cm="1">
        <f t="array" ref="J89">IF(AND(I89&gt;=0,I89&lt;=20),0,IF(AND(I89&gt;20,I89&lt;=40),1, IF(AND(I89&gt;40,I89&lt;=60),2,IF(AND(I89&gt;60,I89&lt;=80),3, IF(AND(I89&gt;80,I89&lt;=100),4,”5”)))))</f>
        <v>1</v>
      </c>
    </row>
    <row r="90" spans="1:10" x14ac:dyDescent="0.3">
      <c r="A90" t="str">
        <f t="shared" si="1"/>
        <v>59034_91</v>
      </c>
      <c r="B90">
        <f>VLOOKUP(C90,[1]lookuptable!$A$1:$C$7,2,0)</f>
        <v>59034</v>
      </c>
      <c r="C90" t="s">
        <v>8</v>
      </c>
      <c r="D90" s="1">
        <v>91</v>
      </c>
      <c r="E90">
        <v>2</v>
      </c>
      <c r="F90">
        <v>322</v>
      </c>
      <c r="G90">
        <v>324</v>
      </c>
      <c r="H90">
        <v>413</v>
      </c>
      <c r="I90" s="2">
        <v>78.450363199999998</v>
      </c>
      <c r="J90" cm="1">
        <f t="array" ref="J90">IF(AND(I90&gt;=0,I90&lt;=20),0,IF(AND(I90&gt;20,I90&lt;=40),1, IF(AND(I90&gt;40,I90&lt;=60),2,IF(AND(I90&gt;60,I90&lt;=80),3, IF(AND(I90&gt;80,I90&lt;=100),4,”5”)))))</f>
        <v>3</v>
      </c>
    </row>
    <row r="91" spans="1:10" x14ac:dyDescent="0.3">
      <c r="A91" t="str">
        <f t="shared" si="1"/>
        <v>59034_92</v>
      </c>
      <c r="B91">
        <f>VLOOKUP(C91,[1]lookuptable!$A$1:$C$7,2,0)</f>
        <v>59034</v>
      </c>
      <c r="C91" t="s">
        <v>8</v>
      </c>
      <c r="D91" s="1">
        <v>92</v>
      </c>
      <c r="E91">
        <v>1</v>
      </c>
      <c r="F91">
        <v>186</v>
      </c>
      <c r="G91">
        <v>187</v>
      </c>
      <c r="H91">
        <v>436</v>
      </c>
      <c r="I91" s="2">
        <v>42.889908259999999</v>
      </c>
      <c r="J91" cm="1">
        <f t="array" ref="J91">IF(AND(I91&gt;=0,I91&lt;=20),0,IF(AND(I91&gt;20,I91&lt;=40),1, IF(AND(I91&gt;40,I91&lt;=60),2,IF(AND(I91&gt;60,I91&lt;=80),3, IF(AND(I91&gt;80,I91&lt;=100),4,”5”)))))</f>
        <v>2</v>
      </c>
    </row>
    <row r="92" spans="1:10" x14ac:dyDescent="0.3">
      <c r="A92" t="str">
        <f t="shared" si="1"/>
        <v>59034_93</v>
      </c>
      <c r="B92">
        <f>VLOOKUP(C92,[1]lookuptable!$A$1:$C$7,2,0)</f>
        <v>59034</v>
      </c>
      <c r="C92" t="s">
        <v>8</v>
      </c>
      <c r="D92" s="1">
        <v>93</v>
      </c>
      <c r="E92">
        <v>0</v>
      </c>
      <c r="F92">
        <v>150</v>
      </c>
      <c r="G92">
        <v>150</v>
      </c>
      <c r="H92">
        <v>431</v>
      </c>
      <c r="I92" s="2">
        <v>34.802784219999999</v>
      </c>
      <c r="J92" cm="1">
        <f t="array" ref="J92">IF(AND(I92&gt;=0,I92&lt;=20),0,IF(AND(I92&gt;20,I92&lt;=40),1, IF(AND(I92&gt;40,I92&lt;=60),2,IF(AND(I92&gt;60,I92&lt;=80),3, IF(AND(I92&gt;80,I92&lt;=100),4,”5”)))))</f>
        <v>1</v>
      </c>
    </row>
    <row r="93" spans="1:10" x14ac:dyDescent="0.3">
      <c r="A93" t="str">
        <f t="shared" si="1"/>
        <v>59034_94</v>
      </c>
      <c r="B93">
        <f>VLOOKUP(C93,[1]lookuptable!$A$1:$C$7,2,0)</f>
        <v>59034</v>
      </c>
      <c r="C93" t="s">
        <v>8</v>
      </c>
      <c r="D93" s="1">
        <v>94</v>
      </c>
      <c r="E93">
        <v>1</v>
      </c>
      <c r="F93">
        <v>264</v>
      </c>
      <c r="G93">
        <v>265</v>
      </c>
      <c r="H93">
        <v>340</v>
      </c>
      <c r="I93" s="2">
        <v>77.941176470000002</v>
      </c>
      <c r="J93" cm="1">
        <f t="array" ref="J93">IF(AND(I93&gt;=0,I93&lt;=20),0,IF(AND(I93&gt;20,I93&lt;=40),1, IF(AND(I93&gt;40,I93&lt;=60),2,IF(AND(I93&gt;60,I93&lt;=80),3, IF(AND(I93&gt;80,I93&lt;=100),4,”5”)))))</f>
        <v>3</v>
      </c>
    </row>
    <row r="94" spans="1:10" x14ac:dyDescent="0.3">
      <c r="A94" t="str">
        <f t="shared" si="1"/>
        <v>59034_95</v>
      </c>
      <c r="B94">
        <f>VLOOKUP(C94,[1]lookuptable!$A$1:$C$7,2,0)</f>
        <v>59034</v>
      </c>
      <c r="C94" t="s">
        <v>8</v>
      </c>
      <c r="D94" s="1">
        <v>95</v>
      </c>
      <c r="E94">
        <v>0</v>
      </c>
      <c r="F94">
        <v>127</v>
      </c>
      <c r="G94">
        <v>127</v>
      </c>
      <c r="H94">
        <v>443</v>
      </c>
      <c r="I94" s="2">
        <v>28.668171560000001</v>
      </c>
      <c r="J94" cm="1">
        <f t="array" ref="J94">IF(AND(I94&gt;=0,I94&lt;=20),0,IF(AND(I94&gt;20,I94&lt;=40),1, IF(AND(I94&gt;40,I94&lt;=60),2,IF(AND(I94&gt;60,I94&lt;=80),3, IF(AND(I94&gt;80,I94&lt;=100),4,”5”)))))</f>
        <v>1</v>
      </c>
    </row>
    <row r="95" spans="1:10" x14ac:dyDescent="0.3">
      <c r="A95" t="str">
        <f t="shared" si="1"/>
        <v>59034_96</v>
      </c>
      <c r="B95">
        <f>VLOOKUP(C95,[1]lookuptable!$A$1:$C$7,2,0)</f>
        <v>59034</v>
      </c>
      <c r="C95" t="s">
        <v>8</v>
      </c>
      <c r="D95" s="1">
        <v>96</v>
      </c>
      <c r="E95">
        <v>0</v>
      </c>
      <c r="F95">
        <v>86</v>
      </c>
      <c r="G95">
        <v>86</v>
      </c>
      <c r="H95">
        <v>409</v>
      </c>
      <c r="I95" s="2">
        <v>21.02689487</v>
      </c>
      <c r="J95" cm="1">
        <f t="array" ref="J95">IF(AND(I95&gt;=0,I95&lt;=20),0,IF(AND(I95&gt;20,I95&lt;=40),1, IF(AND(I95&gt;40,I95&lt;=60),2,IF(AND(I95&gt;60,I95&lt;=80),3, IF(AND(I95&gt;80,I95&lt;=100),4,”5”)))))</f>
        <v>1</v>
      </c>
    </row>
    <row r="96" spans="1:10" x14ac:dyDescent="0.3">
      <c r="A96" t="str">
        <f t="shared" si="1"/>
        <v>59034_97</v>
      </c>
      <c r="B96">
        <f>VLOOKUP(C96,[1]lookuptable!$A$1:$C$7,2,0)</f>
        <v>59034</v>
      </c>
      <c r="C96" t="s">
        <v>8</v>
      </c>
      <c r="D96" s="1">
        <v>97</v>
      </c>
      <c r="E96">
        <v>0</v>
      </c>
      <c r="F96">
        <v>164</v>
      </c>
      <c r="G96">
        <v>164</v>
      </c>
      <c r="H96">
        <v>577</v>
      </c>
      <c r="I96" s="2">
        <v>28.422876949999999</v>
      </c>
      <c r="J96" cm="1">
        <f t="array" ref="J96">IF(AND(I96&gt;=0,I96&lt;=20),0,IF(AND(I96&gt;20,I96&lt;=40),1, IF(AND(I96&gt;40,I96&lt;=60),2,IF(AND(I96&gt;60,I96&lt;=80),3, IF(AND(I96&gt;80,I96&lt;=100),4,”5”)))))</f>
        <v>1</v>
      </c>
    </row>
    <row r="97" spans="1:10" x14ac:dyDescent="0.3">
      <c r="A97" t="str">
        <f t="shared" si="1"/>
        <v>59034_98</v>
      </c>
      <c r="B97">
        <f>VLOOKUP(C97,[1]lookuptable!$A$1:$C$7,2,0)</f>
        <v>59034</v>
      </c>
      <c r="C97" t="s">
        <v>8</v>
      </c>
      <c r="D97" s="1">
        <v>98</v>
      </c>
      <c r="E97">
        <v>0</v>
      </c>
      <c r="F97">
        <v>80</v>
      </c>
      <c r="G97">
        <v>80</v>
      </c>
      <c r="H97">
        <v>277</v>
      </c>
      <c r="I97" s="2">
        <v>28.880866430000001</v>
      </c>
      <c r="J97" cm="1">
        <f t="array" ref="J97">IF(AND(I97&gt;=0,I97&lt;=20),0,IF(AND(I97&gt;20,I97&lt;=40),1, IF(AND(I97&gt;40,I97&lt;=60),2,IF(AND(I97&gt;60,I97&lt;=80),3, IF(AND(I97&gt;80,I97&lt;=100),4,”5”)))))</f>
        <v>1</v>
      </c>
    </row>
    <row r="98" spans="1:10" x14ac:dyDescent="0.3">
      <c r="A98" t="str">
        <f t="shared" si="1"/>
        <v>59034_99</v>
      </c>
      <c r="B98">
        <f>VLOOKUP(C98,[1]lookuptable!$A$1:$C$7,2,0)</f>
        <v>59034</v>
      </c>
      <c r="C98" t="s">
        <v>8</v>
      </c>
      <c r="D98" s="1">
        <v>99</v>
      </c>
      <c r="E98">
        <v>0</v>
      </c>
      <c r="F98">
        <v>103</v>
      </c>
      <c r="G98">
        <v>103</v>
      </c>
      <c r="H98">
        <v>302</v>
      </c>
      <c r="I98" s="2">
        <v>34.105960260000003</v>
      </c>
      <c r="J98" cm="1">
        <f t="array" ref="J98">IF(AND(I98&gt;=0,I98&lt;=20),0,IF(AND(I98&gt;20,I98&lt;=40),1, IF(AND(I98&gt;40,I98&lt;=60),2,IF(AND(I98&gt;60,I98&lt;=80),3, IF(AND(I98&gt;80,I98&lt;=100),4,”5”)))))</f>
        <v>1</v>
      </c>
    </row>
    <row r="99" spans="1:10" x14ac:dyDescent="0.3">
      <c r="A99" t="str">
        <f t="shared" si="1"/>
        <v>59034_100</v>
      </c>
      <c r="B99">
        <f>VLOOKUP(C99,[1]lookuptable!$A$1:$C$7,2,0)</f>
        <v>59034</v>
      </c>
      <c r="C99" t="s">
        <v>8</v>
      </c>
      <c r="D99" s="1">
        <v>100</v>
      </c>
      <c r="E99">
        <v>0</v>
      </c>
      <c r="F99">
        <v>101</v>
      </c>
      <c r="G99">
        <v>101</v>
      </c>
      <c r="H99">
        <v>317</v>
      </c>
      <c r="I99" s="2">
        <v>31.861198739999999</v>
      </c>
      <c r="J99" cm="1">
        <f t="array" ref="J99">IF(AND(I99&gt;=0,I99&lt;=20),0,IF(AND(I99&gt;20,I99&lt;=40),1, IF(AND(I99&gt;40,I99&lt;=60),2,IF(AND(I99&gt;60,I99&lt;=80),3, IF(AND(I99&gt;80,I99&lt;=100),4,”5”)))))</f>
        <v>1</v>
      </c>
    </row>
    <row r="100" spans="1:10" x14ac:dyDescent="0.3">
      <c r="A100" t="str">
        <f t="shared" si="1"/>
        <v>59034_101</v>
      </c>
      <c r="B100">
        <f>VLOOKUP(C100,[1]lookuptable!$A$1:$C$7,2,0)</f>
        <v>59034</v>
      </c>
      <c r="C100" t="s">
        <v>8</v>
      </c>
      <c r="D100" s="1">
        <v>101</v>
      </c>
      <c r="E100">
        <v>3</v>
      </c>
      <c r="F100">
        <v>108</v>
      </c>
      <c r="G100">
        <v>111</v>
      </c>
      <c r="H100">
        <v>351</v>
      </c>
      <c r="I100" s="2">
        <v>31.62393162</v>
      </c>
      <c r="J100" cm="1">
        <f t="array" ref="J100">IF(AND(I100&gt;=0,I100&lt;=20),0,IF(AND(I100&gt;20,I100&lt;=40),1, IF(AND(I100&gt;40,I100&lt;=60),2,IF(AND(I100&gt;60,I100&lt;=80),3, IF(AND(I100&gt;80,I100&lt;=100),4,”5”)))))</f>
        <v>1</v>
      </c>
    </row>
    <row r="101" spans="1:10" x14ac:dyDescent="0.3">
      <c r="A101" t="str">
        <f t="shared" si="1"/>
        <v>59034_102</v>
      </c>
      <c r="B101">
        <f>VLOOKUP(C101,[1]lookuptable!$A$1:$C$7,2,0)</f>
        <v>59034</v>
      </c>
      <c r="C101" t="s">
        <v>8</v>
      </c>
      <c r="D101" s="1">
        <v>102</v>
      </c>
      <c r="E101">
        <v>0</v>
      </c>
      <c r="F101">
        <v>85</v>
      </c>
      <c r="G101">
        <v>85</v>
      </c>
      <c r="H101">
        <v>293</v>
      </c>
      <c r="I101" s="2">
        <v>29.010238910000002</v>
      </c>
      <c r="J101" cm="1">
        <f t="array" ref="J101">IF(AND(I101&gt;=0,I101&lt;=20),0,IF(AND(I101&gt;20,I101&lt;=40),1, IF(AND(I101&gt;40,I101&lt;=60),2,IF(AND(I101&gt;60,I101&lt;=80),3, IF(AND(I101&gt;80,I101&lt;=100),4,”5”)))))</f>
        <v>1</v>
      </c>
    </row>
    <row r="102" spans="1:10" x14ac:dyDescent="0.3">
      <c r="A102" t="str">
        <f t="shared" si="1"/>
        <v>59034_103</v>
      </c>
      <c r="B102">
        <f>VLOOKUP(C102,[1]lookuptable!$A$1:$C$7,2,0)</f>
        <v>59034</v>
      </c>
      <c r="C102" t="s">
        <v>8</v>
      </c>
      <c r="D102" s="1">
        <v>103</v>
      </c>
      <c r="E102">
        <v>3</v>
      </c>
      <c r="F102">
        <v>86</v>
      </c>
      <c r="G102">
        <v>89</v>
      </c>
      <c r="H102">
        <v>392</v>
      </c>
      <c r="I102" s="2">
        <v>22.704081630000001</v>
      </c>
      <c r="J102" cm="1">
        <f t="array" ref="J102">IF(AND(I102&gt;=0,I102&lt;=20),0,IF(AND(I102&gt;20,I102&lt;=40),1, IF(AND(I102&gt;40,I102&lt;=60),2,IF(AND(I102&gt;60,I102&lt;=80),3, IF(AND(I102&gt;80,I102&lt;=100),4,”5”)))))</f>
        <v>1</v>
      </c>
    </row>
    <row r="103" spans="1:10" x14ac:dyDescent="0.3">
      <c r="A103" t="str">
        <f t="shared" si="1"/>
        <v>59034_104</v>
      </c>
      <c r="B103">
        <f>VLOOKUP(C103,[1]lookuptable!$A$1:$C$7,2,0)</f>
        <v>59034</v>
      </c>
      <c r="C103" t="s">
        <v>8</v>
      </c>
      <c r="D103" s="1">
        <v>104</v>
      </c>
      <c r="E103">
        <v>2</v>
      </c>
      <c r="F103">
        <v>147</v>
      </c>
      <c r="G103">
        <v>149</v>
      </c>
      <c r="H103">
        <v>550</v>
      </c>
      <c r="I103" s="2">
        <v>27.09090909</v>
      </c>
      <c r="J103" cm="1">
        <f t="array" ref="J103">IF(AND(I103&gt;=0,I103&lt;=20),0,IF(AND(I103&gt;20,I103&lt;=40),1, IF(AND(I103&gt;40,I103&lt;=60),2,IF(AND(I103&gt;60,I103&lt;=80),3, IF(AND(I103&gt;80,I103&lt;=100),4,”5”)))))</f>
        <v>1</v>
      </c>
    </row>
    <row r="104" spans="1:10" x14ac:dyDescent="0.3">
      <c r="A104" t="str">
        <f t="shared" si="1"/>
        <v>59034_105</v>
      </c>
      <c r="B104">
        <f>VLOOKUP(C104,[1]lookuptable!$A$1:$C$7,2,0)</f>
        <v>59034</v>
      </c>
      <c r="C104" t="s">
        <v>8</v>
      </c>
      <c r="D104" s="1">
        <v>105</v>
      </c>
      <c r="E104">
        <v>0</v>
      </c>
      <c r="F104">
        <v>52</v>
      </c>
      <c r="G104">
        <v>52</v>
      </c>
      <c r="H104">
        <v>164</v>
      </c>
      <c r="I104" s="2">
        <v>31.707317069999998</v>
      </c>
      <c r="J104" cm="1">
        <f t="array" ref="J104">IF(AND(I104&gt;=0,I104&lt;=20),0,IF(AND(I104&gt;20,I104&lt;=40),1, IF(AND(I104&gt;40,I104&lt;=60),2,IF(AND(I104&gt;60,I104&lt;=80),3, IF(AND(I104&gt;80,I104&lt;=100),4,”5”)))))</f>
        <v>1</v>
      </c>
    </row>
    <row r="105" spans="1:10" x14ac:dyDescent="0.3">
      <c r="A105" t="str">
        <f t="shared" si="1"/>
        <v>59034_106</v>
      </c>
      <c r="B105">
        <f>VLOOKUP(C105,[1]lookuptable!$A$1:$C$7,2,0)</f>
        <v>59034</v>
      </c>
      <c r="C105" t="s">
        <v>8</v>
      </c>
      <c r="D105" s="1">
        <v>106</v>
      </c>
      <c r="E105">
        <v>0</v>
      </c>
      <c r="F105">
        <v>96</v>
      </c>
      <c r="G105">
        <v>96</v>
      </c>
      <c r="H105">
        <v>270</v>
      </c>
      <c r="I105" s="2">
        <v>35.555555560000002</v>
      </c>
      <c r="J105" cm="1">
        <f t="array" ref="J105">IF(AND(I105&gt;=0,I105&lt;=20),0,IF(AND(I105&gt;20,I105&lt;=40),1, IF(AND(I105&gt;40,I105&lt;=60),2,IF(AND(I105&gt;60,I105&lt;=80),3, IF(AND(I105&gt;80,I105&lt;=100),4,”5”)))))</f>
        <v>1</v>
      </c>
    </row>
    <row r="106" spans="1:10" x14ac:dyDescent="0.3">
      <c r="A106" t="str">
        <f t="shared" si="1"/>
        <v>59034_107</v>
      </c>
      <c r="B106">
        <f>VLOOKUP(C106,[1]lookuptable!$A$1:$C$7,2,0)</f>
        <v>59034</v>
      </c>
      <c r="C106" t="s">
        <v>8</v>
      </c>
      <c r="D106" s="1">
        <v>107</v>
      </c>
      <c r="E106">
        <v>1</v>
      </c>
      <c r="F106">
        <v>160</v>
      </c>
      <c r="G106">
        <v>161</v>
      </c>
      <c r="H106">
        <v>535</v>
      </c>
      <c r="I106" s="2">
        <v>30.09345794</v>
      </c>
      <c r="J106" cm="1">
        <f t="array" ref="J106">IF(AND(I106&gt;=0,I106&lt;=20),0,IF(AND(I106&gt;20,I106&lt;=40),1, IF(AND(I106&gt;40,I106&lt;=60),2,IF(AND(I106&gt;60,I106&lt;=80),3, IF(AND(I106&gt;80,I106&lt;=100),4,”5”)))))</f>
        <v>1</v>
      </c>
    </row>
    <row r="107" spans="1:10" x14ac:dyDescent="0.3">
      <c r="A107" t="str">
        <f t="shared" si="1"/>
        <v>59034_108</v>
      </c>
      <c r="B107">
        <f>VLOOKUP(C107,[1]lookuptable!$A$1:$C$7,2,0)</f>
        <v>59034</v>
      </c>
      <c r="C107" t="s">
        <v>8</v>
      </c>
      <c r="D107" s="1">
        <v>108</v>
      </c>
      <c r="E107">
        <v>0</v>
      </c>
      <c r="F107">
        <v>162</v>
      </c>
      <c r="G107">
        <v>162</v>
      </c>
      <c r="H107">
        <v>432</v>
      </c>
      <c r="I107" s="2">
        <v>37.5</v>
      </c>
      <c r="J107" cm="1">
        <f t="array" ref="J107">IF(AND(I107&gt;=0,I107&lt;=20),0,IF(AND(I107&gt;20,I107&lt;=40),1, IF(AND(I107&gt;40,I107&lt;=60),2,IF(AND(I107&gt;60,I107&lt;=80),3, IF(AND(I107&gt;80,I107&lt;=100),4,”5”)))))</f>
        <v>1</v>
      </c>
    </row>
    <row r="108" spans="1:10" x14ac:dyDescent="0.3">
      <c r="A108" t="str">
        <f t="shared" si="1"/>
        <v>59034_109</v>
      </c>
      <c r="B108">
        <f>VLOOKUP(C108,[1]lookuptable!$A$1:$C$7,2,0)</f>
        <v>59034</v>
      </c>
      <c r="C108" t="s">
        <v>8</v>
      </c>
      <c r="D108" s="1">
        <v>109</v>
      </c>
      <c r="E108">
        <v>3</v>
      </c>
      <c r="F108">
        <v>192</v>
      </c>
      <c r="G108">
        <v>195</v>
      </c>
      <c r="H108">
        <v>434</v>
      </c>
      <c r="I108" s="2">
        <v>44.930875579999999</v>
      </c>
      <c r="J108" cm="1">
        <f t="array" ref="J108">IF(AND(I108&gt;=0,I108&lt;=20),0,IF(AND(I108&gt;20,I108&lt;=40),1, IF(AND(I108&gt;40,I108&lt;=60),2,IF(AND(I108&gt;60,I108&lt;=80),3, IF(AND(I108&gt;80,I108&lt;=100),4,”5”)))))</f>
        <v>2</v>
      </c>
    </row>
    <row r="109" spans="1:10" x14ac:dyDescent="0.3">
      <c r="A109" t="str">
        <f t="shared" si="1"/>
        <v>59034_110</v>
      </c>
      <c r="B109">
        <f>VLOOKUP(C109,[1]lookuptable!$A$1:$C$7,2,0)</f>
        <v>59034</v>
      </c>
      <c r="C109" t="s">
        <v>8</v>
      </c>
      <c r="D109" s="1">
        <v>110</v>
      </c>
      <c r="E109">
        <v>0</v>
      </c>
      <c r="F109">
        <v>114</v>
      </c>
      <c r="G109">
        <v>114</v>
      </c>
      <c r="H109">
        <v>357</v>
      </c>
      <c r="I109" s="2">
        <v>31.932773109999999</v>
      </c>
      <c r="J109" cm="1">
        <f t="array" ref="J109">IF(AND(I109&gt;=0,I109&lt;=20),0,IF(AND(I109&gt;20,I109&lt;=40),1, IF(AND(I109&gt;40,I109&lt;=60),2,IF(AND(I109&gt;60,I109&lt;=80),3, IF(AND(I109&gt;80,I109&lt;=100),4,”5”)))))</f>
        <v>1</v>
      </c>
    </row>
    <row r="110" spans="1:10" x14ac:dyDescent="0.3">
      <c r="A110" t="str">
        <f t="shared" si="1"/>
        <v>59034_111</v>
      </c>
      <c r="B110">
        <f>VLOOKUP(C110,[1]lookuptable!$A$1:$C$7,2,0)</f>
        <v>59034</v>
      </c>
      <c r="C110" t="s">
        <v>8</v>
      </c>
      <c r="D110" s="1">
        <v>111</v>
      </c>
      <c r="E110">
        <v>113</v>
      </c>
      <c r="F110">
        <v>0</v>
      </c>
      <c r="G110">
        <v>0</v>
      </c>
      <c r="H110">
        <v>283</v>
      </c>
      <c r="I110" s="2">
        <f>((E110+G110)/H110)*100</f>
        <v>39.929328621908127</v>
      </c>
      <c r="J110" cm="1">
        <f t="array" ref="J110">IF(AND(I110&gt;=0,I110&lt;=20),0,IF(AND(I110&gt;20,I110&lt;=40),1, IF(AND(I110&gt;40,I110&lt;=60),2,IF(AND(I110&gt;60,I110&lt;=80),3, IF(AND(I110&gt;80,I110&lt;=100),4,”5”)))))</f>
        <v>1</v>
      </c>
    </row>
    <row r="111" spans="1:10" x14ac:dyDescent="0.3">
      <c r="A111" t="str">
        <f t="shared" si="1"/>
        <v>59034_112</v>
      </c>
      <c r="B111">
        <f>VLOOKUP(C111,[1]lookuptable!$A$1:$C$7,2,0)</f>
        <v>59034</v>
      </c>
      <c r="C111" t="s">
        <v>8</v>
      </c>
      <c r="D111" s="1">
        <v>112</v>
      </c>
      <c r="E111">
        <v>2</v>
      </c>
      <c r="F111">
        <v>147</v>
      </c>
      <c r="G111">
        <v>149</v>
      </c>
      <c r="H111">
        <v>514</v>
      </c>
      <c r="I111" s="2">
        <v>28.98832685</v>
      </c>
      <c r="J111" cm="1">
        <f t="array" ref="J111">IF(AND(I111&gt;=0,I111&lt;=20),0,IF(AND(I111&gt;20,I111&lt;=40),1, IF(AND(I111&gt;40,I111&lt;=60),2,IF(AND(I111&gt;60,I111&lt;=80),3, IF(AND(I111&gt;80,I111&lt;=100),4,”5”)))))</f>
        <v>1</v>
      </c>
    </row>
    <row r="112" spans="1:10" x14ac:dyDescent="0.3">
      <c r="A112" t="str">
        <f t="shared" si="1"/>
        <v>59034_113</v>
      </c>
      <c r="B112">
        <f>VLOOKUP(C112,[1]lookuptable!$A$1:$C$7,2,0)</f>
        <v>59034</v>
      </c>
      <c r="C112" t="s">
        <v>8</v>
      </c>
      <c r="D112" s="1">
        <v>113</v>
      </c>
      <c r="E112">
        <v>0</v>
      </c>
      <c r="F112">
        <v>154</v>
      </c>
      <c r="G112">
        <v>154</v>
      </c>
      <c r="H112">
        <v>285</v>
      </c>
      <c r="I112" s="2">
        <v>54.03508772</v>
      </c>
      <c r="J112" cm="1">
        <f t="array" ref="J112">IF(AND(I112&gt;=0,I112&lt;=20),0,IF(AND(I112&gt;20,I112&lt;=40),1, IF(AND(I112&gt;40,I112&lt;=60),2,IF(AND(I112&gt;60,I112&lt;=80),3, IF(AND(I112&gt;80,I112&lt;=100),4,”5”)))))</f>
        <v>2</v>
      </c>
    </row>
    <row r="113" spans="1:10" x14ac:dyDescent="0.3">
      <c r="A113" t="str">
        <f t="shared" si="1"/>
        <v>59034_114</v>
      </c>
      <c r="B113">
        <f>VLOOKUP(C113,[1]lookuptable!$A$1:$C$7,2,0)</f>
        <v>59034</v>
      </c>
      <c r="C113" t="s">
        <v>8</v>
      </c>
      <c r="D113" s="1">
        <v>114</v>
      </c>
      <c r="E113">
        <v>0</v>
      </c>
      <c r="F113">
        <v>165</v>
      </c>
      <c r="G113">
        <v>165</v>
      </c>
      <c r="H113">
        <v>608</v>
      </c>
      <c r="I113" s="2">
        <v>27.138157889999999</v>
      </c>
      <c r="J113" cm="1">
        <f t="array" ref="J113">IF(AND(I113&gt;=0,I113&lt;=20),0,IF(AND(I113&gt;20,I113&lt;=40),1, IF(AND(I113&gt;40,I113&lt;=60),2,IF(AND(I113&gt;60,I113&lt;=80),3, IF(AND(I113&gt;80,I113&lt;=100),4,”5”)))))</f>
        <v>1</v>
      </c>
    </row>
    <row r="114" spans="1:10" x14ac:dyDescent="0.3">
      <c r="A114" t="str">
        <f t="shared" si="1"/>
        <v>59034_115</v>
      </c>
      <c r="B114">
        <f>VLOOKUP(C114,[1]lookuptable!$A$1:$C$7,2,0)</f>
        <v>59034</v>
      </c>
      <c r="C114" t="s">
        <v>8</v>
      </c>
      <c r="D114" s="1">
        <v>115</v>
      </c>
      <c r="E114">
        <v>1</v>
      </c>
      <c r="F114">
        <v>113</v>
      </c>
      <c r="G114">
        <v>114</v>
      </c>
      <c r="H114">
        <v>349</v>
      </c>
      <c r="I114" s="2">
        <v>32.664756449999999</v>
      </c>
      <c r="J114" cm="1">
        <f t="array" ref="J114">IF(AND(I114&gt;=0,I114&lt;=20),0,IF(AND(I114&gt;20,I114&lt;=40),1, IF(AND(I114&gt;40,I114&lt;=60),2,IF(AND(I114&gt;60,I114&lt;=80),3, IF(AND(I114&gt;80,I114&lt;=100),4,”5”)))))</f>
        <v>1</v>
      </c>
    </row>
    <row r="115" spans="1:10" x14ac:dyDescent="0.3">
      <c r="A115" t="str">
        <f t="shared" si="1"/>
        <v>59034_116</v>
      </c>
      <c r="B115">
        <f>VLOOKUP(C115,[1]lookuptable!$A$1:$C$7,2,0)</f>
        <v>59034</v>
      </c>
      <c r="C115" t="s">
        <v>8</v>
      </c>
      <c r="D115" s="1">
        <v>116</v>
      </c>
      <c r="E115">
        <v>0</v>
      </c>
      <c r="F115">
        <v>140</v>
      </c>
      <c r="G115">
        <v>140</v>
      </c>
      <c r="H115">
        <v>336</v>
      </c>
      <c r="I115" s="2">
        <v>41.666666669999998</v>
      </c>
      <c r="J115" cm="1">
        <f t="array" ref="J115">IF(AND(I115&gt;=0,I115&lt;=20),0,IF(AND(I115&gt;20,I115&lt;=40),1, IF(AND(I115&gt;40,I115&lt;=60),2,IF(AND(I115&gt;60,I115&lt;=80),3, IF(AND(I115&gt;80,I115&lt;=100),4,”5”)))))</f>
        <v>2</v>
      </c>
    </row>
    <row r="116" spans="1:10" x14ac:dyDescent="0.3">
      <c r="A116" t="str">
        <f t="shared" si="1"/>
        <v>59034_117</v>
      </c>
      <c r="B116">
        <f>VLOOKUP(C116,[1]lookuptable!$A$1:$C$7,2,0)</f>
        <v>59034</v>
      </c>
      <c r="C116" t="s">
        <v>8</v>
      </c>
      <c r="D116" s="1">
        <v>117</v>
      </c>
      <c r="E116">
        <v>3</v>
      </c>
      <c r="F116">
        <v>123</v>
      </c>
      <c r="G116">
        <v>126</v>
      </c>
      <c r="H116">
        <v>445</v>
      </c>
      <c r="I116" s="2">
        <v>28.314606739999999</v>
      </c>
      <c r="J116" cm="1">
        <f t="array" ref="J116">IF(AND(I116&gt;=0,I116&lt;=20),0,IF(AND(I116&gt;20,I116&lt;=40),1, IF(AND(I116&gt;40,I116&lt;=60),2,IF(AND(I116&gt;60,I116&lt;=80),3, IF(AND(I116&gt;80,I116&lt;=100),4,”5”)))))</f>
        <v>1</v>
      </c>
    </row>
    <row r="117" spans="1:10" x14ac:dyDescent="0.3">
      <c r="A117" t="str">
        <f t="shared" si="1"/>
        <v>59034_118</v>
      </c>
      <c r="B117">
        <f>VLOOKUP(C117,[1]lookuptable!$A$1:$C$7,2,0)</f>
        <v>59034</v>
      </c>
      <c r="C117" t="s">
        <v>8</v>
      </c>
      <c r="D117" s="1">
        <v>118</v>
      </c>
      <c r="E117">
        <v>0</v>
      </c>
      <c r="F117">
        <v>49</v>
      </c>
      <c r="G117">
        <v>49</v>
      </c>
      <c r="H117">
        <v>405</v>
      </c>
      <c r="I117" s="2">
        <v>12.09876543</v>
      </c>
      <c r="J117" cm="1">
        <f t="array" ref="J117">IF(AND(I117&gt;=0,I117&lt;=20),0,IF(AND(I117&gt;20,I117&lt;=40),1, IF(AND(I117&gt;40,I117&lt;=60),2,IF(AND(I117&gt;60,I117&lt;=80),3, IF(AND(I117&gt;80,I117&lt;=100),4,”5”)))))</f>
        <v>0</v>
      </c>
    </row>
    <row r="118" spans="1:10" x14ac:dyDescent="0.3">
      <c r="A118" t="str">
        <f t="shared" si="1"/>
        <v>59034_119</v>
      </c>
      <c r="B118">
        <f>VLOOKUP(C118,[1]lookuptable!$A$1:$C$7,2,0)</f>
        <v>59034</v>
      </c>
      <c r="C118" t="s">
        <v>8</v>
      </c>
      <c r="D118" s="1">
        <v>119</v>
      </c>
      <c r="E118">
        <v>0</v>
      </c>
      <c r="F118">
        <v>149</v>
      </c>
      <c r="G118">
        <v>149</v>
      </c>
      <c r="H118">
        <v>627</v>
      </c>
      <c r="I118" s="2">
        <v>23.763955339999999</v>
      </c>
      <c r="J118" cm="1">
        <f t="array" ref="J118">IF(AND(I118&gt;=0,I118&lt;=20),0,IF(AND(I118&gt;20,I118&lt;=40),1, IF(AND(I118&gt;40,I118&lt;=60),2,IF(AND(I118&gt;60,I118&lt;=80),3, IF(AND(I118&gt;80,I118&lt;=100),4,”5”)))))</f>
        <v>1</v>
      </c>
    </row>
    <row r="119" spans="1:10" x14ac:dyDescent="0.3">
      <c r="A119" t="str">
        <f t="shared" si="1"/>
        <v>59034_120</v>
      </c>
      <c r="B119">
        <f>VLOOKUP(C119,[1]lookuptable!$A$1:$C$7,2,0)</f>
        <v>59034</v>
      </c>
      <c r="C119" t="s">
        <v>8</v>
      </c>
      <c r="D119" s="1">
        <v>120</v>
      </c>
      <c r="E119">
        <v>0</v>
      </c>
      <c r="F119">
        <v>113</v>
      </c>
      <c r="G119">
        <v>113</v>
      </c>
      <c r="H119">
        <v>393</v>
      </c>
      <c r="I119" s="2">
        <v>28.753180660000002</v>
      </c>
      <c r="J119" cm="1">
        <f t="array" ref="J119">IF(AND(I119&gt;=0,I119&lt;=20),0,IF(AND(I119&gt;20,I119&lt;=40),1, IF(AND(I119&gt;40,I119&lt;=60),2,IF(AND(I119&gt;60,I119&lt;=80),3, IF(AND(I119&gt;80,I119&lt;=100),4,”5”)))))</f>
        <v>1</v>
      </c>
    </row>
    <row r="120" spans="1:10" x14ac:dyDescent="0.3">
      <c r="A120" t="str">
        <f t="shared" si="1"/>
        <v>59034_121</v>
      </c>
      <c r="B120">
        <f>VLOOKUP(C120,[1]lookuptable!$A$1:$C$7,2,0)</f>
        <v>59034</v>
      </c>
      <c r="C120" t="s">
        <v>8</v>
      </c>
      <c r="D120" s="1">
        <v>121</v>
      </c>
      <c r="E120">
        <v>116</v>
      </c>
      <c r="F120">
        <v>0</v>
      </c>
      <c r="G120">
        <v>0</v>
      </c>
      <c r="H120">
        <v>285</v>
      </c>
      <c r="I120" s="2">
        <f>((E120+G120)/H120)*100</f>
        <v>40.701754385964911</v>
      </c>
      <c r="J120" cm="1">
        <f t="array" ref="J120">IF(AND(I120&gt;=0,I120&lt;=20),0,IF(AND(I120&gt;20,I120&lt;=40),1, IF(AND(I120&gt;40,I120&lt;=60),2,IF(AND(I120&gt;60,I120&lt;=80),3, IF(AND(I120&gt;80,I120&lt;=100),4,”5”)))))</f>
        <v>2</v>
      </c>
    </row>
    <row r="121" spans="1:10" x14ac:dyDescent="0.3">
      <c r="A121" t="str">
        <f t="shared" si="1"/>
        <v>59034_122</v>
      </c>
      <c r="B121">
        <f>VLOOKUP(C121,[1]lookuptable!$A$1:$C$7,2,0)</f>
        <v>59034</v>
      </c>
      <c r="C121" t="s">
        <v>8</v>
      </c>
      <c r="D121" s="1">
        <v>122</v>
      </c>
      <c r="E121">
        <v>0</v>
      </c>
      <c r="F121">
        <v>159</v>
      </c>
      <c r="G121">
        <v>159</v>
      </c>
      <c r="H121">
        <v>379</v>
      </c>
      <c r="I121" s="2">
        <v>41.9525066</v>
      </c>
      <c r="J121" cm="1">
        <f t="array" ref="J121">IF(AND(I121&gt;=0,I121&lt;=20),0,IF(AND(I121&gt;20,I121&lt;=40),1, IF(AND(I121&gt;40,I121&lt;=60),2,IF(AND(I121&gt;60,I121&lt;=80),3, IF(AND(I121&gt;80,I121&lt;=100),4,”5”)))))</f>
        <v>2</v>
      </c>
    </row>
    <row r="122" spans="1:10" x14ac:dyDescent="0.3">
      <c r="A122" t="str">
        <f t="shared" si="1"/>
        <v>59034_123</v>
      </c>
      <c r="B122">
        <f>VLOOKUP(C122,[1]lookuptable!$A$1:$C$7,2,0)</f>
        <v>59034</v>
      </c>
      <c r="C122" t="s">
        <v>8</v>
      </c>
      <c r="D122" s="1">
        <v>123</v>
      </c>
      <c r="E122">
        <v>0</v>
      </c>
      <c r="F122">
        <v>51</v>
      </c>
      <c r="G122">
        <v>51</v>
      </c>
      <c r="H122">
        <v>280</v>
      </c>
      <c r="I122" s="2">
        <v>18.214285709999999</v>
      </c>
      <c r="J122" cm="1">
        <f t="array" ref="J122">IF(AND(I122&gt;=0,I122&lt;=20),0,IF(AND(I122&gt;20,I122&lt;=40),1, IF(AND(I122&gt;40,I122&lt;=60),2,IF(AND(I122&gt;60,I122&lt;=80),3, IF(AND(I122&gt;80,I122&lt;=100),4,”5”)))))</f>
        <v>0</v>
      </c>
    </row>
    <row r="123" spans="1:10" x14ac:dyDescent="0.3">
      <c r="A123" t="str">
        <f t="shared" si="1"/>
        <v>59034_124</v>
      </c>
      <c r="B123">
        <f>VLOOKUP(C123,[1]lookuptable!$A$1:$C$7,2,0)</f>
        <v>59034</v>
      </c>
      <c r="C123" t="s">
        <v>8</v>
      </c>
      <c r="D123" s="1">
        <v>124</v>
      </c>
      <c r="E123">
        <v>0</v>
      </c>
      <c r="F123">
        <v>202</v>
      </c>
      <c r="G123">
        <v>202</v>
      </c>
      <c r="H123">
        <v>384</v>
      </c>
      <c r="I123" s="2">
        <v>52.604166669999998</v>
      </c>
      <c r="J123" cm="1">
        <f t="array" ref="J123">IF(AND(I123&gt;=0,I123&lt;=20),0,IF(AND(I123&gt;20,I123&lt;=40),1, IF(AND(I123&gt;40,I123&lt;=60),2,IF(AND(I123&gt;60,I123&lt;=80),3, IF(AND(I123&gt;80,I123&lt;=100),4,”5”)))))</f>
        <v>2</v>
      </c>
    </row>
    <row r="124" spans="1:10" x14ac:dyDescent="0.3">
      <c r="A124" t="str">
        <f t="shared" si="1"/>
        <v>59034_125</v>
      </c>
      <c r="B124">
        <f>VLOOKUP(C124,[1]lookuptable!$A$1:$C$7,2,0)</f>
        <v>59034</v>
      </c>
      <c r="C124" t="s">
        <v>8</v>
      </c>
      <c r="D124" s="1">
        <v>125</v>
      </c>
      <c r="E124">
        <v>0</v>
      </c>
      <c r="F124">
        <v>120</v>
      </c>
      <c r="G124">
        <v>120</v>
      </c>
      <c r="H124">
        <v>425</v>
      </c>
      <c r="I124" s="2">
        <v>28.235294119999999</v>
      </c>
      <c r="J124" cm="1">
        <f t="array" ref="J124">IF(AND(I124&gt;=0,I124&lt;=20),0,IF(AND(I124&gt;20,I124&lt;=40),1, IF(AND(I124&gt;40,I124&lt;=60),2,IF(AND(I124&gt;60,I124&lt;=80),3, IF(AND(I124&gt;80,I124&lt;=100),4,”5”)))))</f>
        <v>1</v>
      </c>
    </row>
    <row r="125" spans="1:10" x14ac:dyDescent="0.3">
      <c r="A125" t="str">
        <f t="shared" si="1"/>
        <v>59034_126</v>
      </c>
      <c r="B125">
        <f>VLOOKUP(C125,[1]lookuptable!$A$1:$C$7,2,0)</f>
        <v>59034</v>
      </c>
      <c r="C125" t="s">
        <v>8</v>
      </c>
      <c r="D125" s="1">
        <v>126</v>
      </c>
      <c r="E125">
        <v>0</v>
      </c>
      <c r="F125">
        <v>176</v>
      </c>
      <c r="G125">
        <v>176</v>
      </c>
      <c r="H125">
        <v>579</v>
      </c>
      <c r="I125" s="2">
        <v>30.39723661</v>
      </c>
      <c r="J125" cm="1">
        <f t="array" ref="J125">IF(AND(I125&gt;=0,I125&lt;=20),0,IF(AND(I125&gt;20,I125&lt;=40),1, IF(AND(I125&gt;40,I125&lt;=60),2,IF(AND(I125&gt;60,I125&lt;=80),3, IF(AND(I125&gt;80,I125&lt;=100),4,”5”)))))</f>
        <v>1</v>
      </c>
    </row>
    <row r="126" spans="1:10" x14ac:dyDescent="0.3">
      <c r="A126" t="str">
        <f t="shared" si="1"/>
        <v>59034_127</v>
      </c>
      <c r="B126">
        <f>VLOOKUP(C126,[1]lookuptable!$A$1:$C$7,2,0)</f>
        <v>59034</v>
      </c>
      <c r="C126" t="s">
        <v>8</v>
      </c>
      <c r="D126" s="1">
        <v>127</v>
      </c>
      <c r="E126">
        <v>128</v>
      </c>
      <c r="F126">
        <v>0</v>
      </c>
      <c r="G126">
        <v>0</v>
      </c>
      <c r="H126">
        <v>262</v>
      </c>
      <c r="I126" s="2">
        <f>((E126+G126)/H126)*100</f>
        <v>48.854961832061065</v>
      </c>
      <c r="J126" cm="1">
        <f t="array" ref="J126">IF(AND(I126&gt;=0,I126&lt;=20),0,IF(AND(I126&gt;20,I126&lt;=40),1, IF(AND(I126&gt;40,I126&lt;=60),2,IF(AND(I126&gt;60,I126&lt;=80),3, IF(AND(I126&gt;80,I126&lt;=100),4,”5”)))))</f>
        <v>2</v>
      </c>
    </row>
    <row r="127" spans="1:10" x14ac:dyDescent="0.3">
      <c r="A127" t="str">
        <f t="shared" si="1"/>
        <v>59034_128</v>
      </c>
      <c r="B127">
        <f>VLOOKUP(C127,[1]lookuptable!$A$1:$C$7,2,0)</f>
        <v>59034</v>
      </c>
      <c r="C127" t="s">
        <v>8</v>
      </c>
      <c r="D127" s="1">
        <v>128</v>
      </c>
      <c r="E127">
        <v>1</v>
      </c>
      <c r="F127">
        <v>170</v>
      </c>
      <c r="G127">
        <v>171</v>
      </c>
      <c r="H127">
        <v>471</v>
      </c>
      <c r="I127" s="2">
        <v>36.305732480000003</v>
      </c>
      <c r="J127" cm="1">
        <f t="array" ref="J127">IF(AND(I127&gt;=0,I127&lt;=20),0,IF(AND(I127&gt;20,I127&lt;=40),1, IF(AND(I127&gt;40,I127&lt;=60),2,IF(AND(I127&gt;60,I127&lt;=80),3, IF(AND(I127&gt;80,I127&lt;=100),4,”5”)))))</f>
        <v>1</v>
      </c>
    </row>
    <row r="128" spans="1:10" x14ac:dyDescent="0.3">
      <c r="A128" t="str">
        <f t="shared" si="1"/>
        <v>59034_129</v>
      </c>
      <c r="B128">
        <f>VLOOKUP(C128,[1]lookuptable!$A$1:$C$7,2,0)</f>
        <v>59034</v>
      </c>
      <c r="C128" t="s">
        <v>8</v>
      </c>
      <c r="D128" s="1">
        <v>129</v>
      </c>
      <c r="E128">
        <v>0</v>
      </c>
      <c r="F128">
        <v>118</v>
      </c>
      <c r="G128">
        <v>118</v>
      </c>
      <c r="H128">
        <v>390</v>
      </c>
      <c r="I128" s="2">
        <v>30.256410259999999</v>
      </c>
      <c r="J128" cm="1">
        <f t="array" ref="J128">IF(AND(I128&gt;=0,I128&lt;=20),0,IF(AND(I128&gt;20,I128&lt;=40),1, IF(AND(I128&gt;40,I128&lt;=60),2,IF(AND(I128&gt;60,I128&lt;=80),3, IF(AND(I128&gt;80,I128&lt;=100),4,”5”)))))</f>
        <v>1</v>
      </c>
    </row>
    <row r="129" spans="1:10" x14ac:dyDescent="0.3">
      <c r="A129" t="str">
        <f t="shared" si="1"/>
        <v>59034_130</v>
      </c>
      <c r="B129">
        <f>VLOOKUP(C129,[1]lookuptable!$A$1:$C$7,2,0)</f>
        <v>59034</v>
      </c>
      <c r="C129" t="s">
        <v>8</v>
      </c>
      <c r="D129" s="1">
        <v>130</v>
      </c>
      <c r="E129">
        <v>0</v>
      </c>
      <c r="F129">
        <v>142</v>
      </c>
      <c r="G129">
        <v>142</v>
      </c>
      <c r="H129">
        <v>447</v>
      </c>
      <c r="I129" s="2">
        <v>31.767337810000001</v>
      </c>
      <c r="J129" cm="1">
        <f t="array" ref="J129">IF(AND(I129&gt;=0,I129&lt;=20),0,IF(AND(I129&gt;20,I129&lt;=40),1, IF(AND(I129&gt;40,I129&lt;=60),2,IF(AND(I129&gt;60,I129&lt;=80),3, IF(AND(I129&gt;80,I129&lt;=100),4,”5”)))))</f>
        <v>1</v>
      </c>
    </row>
    <row r="130" spans="1:10" x14ac:dyDescent="0.3">
      <c r="A130" t="str">
        <f t="shared" ref="A130:A193" si="3">CONCATENATE(B130,"_",D130)</f>
        <v>59034_131</v>
      </c>
      <c r="B130">
        <f>VLOOKUP(C130,[1]lookuptable!$A$1:$C$7,2,0)</f>
        <v>59034</v>
      </c>
      <c r="C130" t="s">
        <v>8</v>
      </c>
      <c r="D130" s="1">
        <v>131</v>
      </c>
      <c r="E130">
        <v>1</v>
      </c>
      <c r="F130">
        <v>104</v>
      </c>
      <c r="G130">
        <v>105</v>
      </c>
      <c r="H130">
        <v>297</v>
      </c>
      <c r="I130" s="2">
        <v>35.353535350000001</v>
      </c>
      <c r="J130" cm="1">
        <f t="array" ref="J130">IF(AND(I130&gt;=0,I130&lt;=20),0,IF(AND(I130&gt;20,I130&lt;=40),1, IF(AND(I130&gt;40,I130&lt;=60),2,IF(AND(I130&gt;60,I130&lt;=80),3, IF(AND(I130&gt;80,I130&lt;=100),4,”5”)))))</f>
        <v>1</v>
      </c>
    </row>
    <row r="131" spans="1:10" x14ac:dyDescent="0.3">
      <c r="A131" t="str">
        <f t="shared" si="3"/>
        <v>59034_132</v>
      </c>
      <c r="B131">
        <f>VLOOKUP(C131,[1]lookuptable!$A$1:$C$7,2,0)</f>
        <v>59034</v>
      </c>
      <c r="C131" t="s">
        <v>8</v>
      </c>
      <c r="D131" s="1">
        <v>132</v>
      </c>
      <c r="E131">
        <v>0</v>
      </c>
      <c r="F131">
        <v>154</v>
      </c>
      <c r="G131">
        <v>154</v>
      </c>
      <c r="H131">
        <v>505</v>
      </c>
      <c r="I131" s="2">
        <v>30.4950495</v>
      </c>
      <c r="J131" cm="1">
        <f t="array" ref="J131">IF(AND(I131&gt;=0,I131&lt;=20),0,IF(AND(I131&gt;20,I131&lt;=40),1, IF(AND(I131&gt;40,I131&lt;=60),2,IF(AND(I131&gt;60,I131&lt;=80),3, IF(AND(I131&gt;80,I131&lt;=100),4,”5”)))))</f>
        <v>1</v>
      </c>
    </row>
    <row r="132" spans="1:10" x14ac:dyDescent="0.3">
      <c r="A132" t="str">
        <f t="shared" si="3"/>
        <v>59034_133</v>
      </c>
      <c r="B132">
        <f>VLOOKUP(C132,[1]lookuptable!$A$1:$C$7,2,0)</f>
        <v>59034</v>
      </c>
      <c r="C132" t="s">
        <v>8</v>
      </c>
      <c r="D132" s="1">
        <v>133</v>
      </c>
      <c r="E132">
        <v>0</v>
      </c>
      <c r="F132">
        <v>269</v>
      </c>
      <c r="G132">
        <v>269</v>
      </c>
      <c r="H132">
        <v>847</v>
      </c>
      <c r="I132" s="2">
        <v>31.75914994</v>
      </c>
      <c r="J132" cm="1">
        <f t="array" ref="J132">IF(AND(I132&gt;=0,I132&lt;=20),0,IF(AND(I132&gt;20,I132&lt;=40),1, IF(AND(I132&gt;40,I132&lt;=60),2,IF(AND(I132&gt;60,I132&lt;=80),3, IF(AND(I132&gt;80,I132&lt;=100),4,”5”)))))</f>
        <v>1</v>
      </c>
    </row>
    <row r="133" spans="1:10" x14ac:dyDescent="0.3">
      <c r="A133" t="str">
        <f t="shared" si="3"/>
        <v>59034_134</v>
      </c>
      <c r="B133">
        <f>VLOOKUP(C133,[1]lookuptable!$A$1:$C$7,2,0)</f>
        <v>59034</v>
      </c>
      <c r="C133" t="s">
        <v>8</v>
      </c>
      <c r="D133" s="1">
        <v>134</v>
      </c>
      <c r="E133">
        <v>0</v>
      </c>
      <c r="F133">
        <v>103</v>
      </c>
      <c r="G133">
        <v>103</v>
      </c>
      <c r="H133">
        <v>286</v>
      </c>
      <c r="I133" s="2">
        <v>36.013986010000004</v>
      </c>
      <c r="J133" cm="1">
        <f t="array" ref="J133">IF(AND(I133&gt;=0,I133&lt;=20),0,IF(AND(I133&gt;20,I133&lt;=40),1, IF(AND(I133&gt;40,I133&lt;=60),2,IF(AND(I133&gt;60,I133&lt;=80),3, IF(AND(I133&gt;80,I133&lt;=100),4,”5”)))))</f>
        <v>1</v>
      </c>
    </row>
    <row r="134" spans="1:10" x14ac:dyDescent="0.3">
      <c r="A134" t="str">
        <f t="shared" si="3"/>
        <v>59034_135</v>
      </c>
      <c r="B134">
        <f>VLOOKUP(C134,[1]lookuptable!$A$1:$C$7,2,0)</f>
        <v>59034</v>
      </c>
      <c r="C134" t="s">
        <v>8</v>
      </c>
      <c r="D134" s="1">
        <v>135</v>
      </c>
      <c r="E134">
        <v>2</v>
      </c>
      <c r="F134">
        <v>188</v>
      </c>
      <c r="G134">
        <v>190</v>
      </c>
      <c r="H134">
        <v>594</v>
      </c>
      <c r="I134" s="2">
        <v>31.98653199</v>
      </c>
      <c r="J134" cm="1">
        <f t="array" ref="J134">IF(AND(I134&gt;=0,I134&lt;=20),0,IF(AND(I134&gt;20,I134&lt;=40),1, IF(AND(I134&gt;40,I134&lt;=60),2,IF(AND(I134&gt;60,I134&lt;=80),3, IF(AND(I134&gt;80,I134&lt;=100),4,”5”)))))</f>
        <v>1</v>
      </c>
    </row>
    <row r="135" spans="1:10" x14ac:dyDescent="0.3">
      <c r="A135" t="str">
        <f t="shared" si="3"/>
        <v>59034_136</v>
      </c>
      <c r="B135">
        <f>VLOOKUP(C135,[1]lookuptable!$A$1:$C$7,2,0)</f>
        <v>59034</v>
      </c>
      <c r="C135" t="s">
        <v>8</v>
      </c>
      <c r="D135" s="1">
        <v>136</v>
      </c>
      <c r="E135">
        <v>1</v>
      </c>
      <c r="F135">
        <v>153</v>
      </c>
      <c r="G135">
        <v>154</v>
      </c>
      <c r="H135">
        <v>609</v>
      </c>
      <c r="I135" s="2">
        <v>25.287356320000001</v>
      </c>
      <c r="J135" cm="1">
        <f t="array" ref="J135">IF(AND(I135&gt;=0,I135&lt;=20),0,IF(AND(I135&gt;20,I135&lt;=40),1, IF(AND(I135&gt;40,I135&lt;=60),2,IF(AND(I135&gt;60,I135&lt;=80),3, IF(AND(I135&gt;80,I135&lt;=100),4,”5”)))))</f>
        <v>1</v>
      </c>
    </row>
    <row r="136" spans="1:10" x14ac:dyDescent="0.3">
      <c r="A136" t="str">
        <f t="shared" si="3"/>
        <v>59034_137</v>
      </c>
      <c r="B136">
        <f>VLOOKUP(C136,[1]lookuptable!$A$1:$C$7,2,0)</f>
        <v>59034</v>
      </c>
      <c r="C136" t="s">
        <v>8</v>
      </c>
      <c r="D136" s="1">
        <v>137</v>
      </c>
      <c r="E136">
        <v>0</v>
      </c>
      <c r="F136">
        <v>113</v>
      </c>
      <c r="G136">
        <v>113</v>
      </c>
      <c r="H136">
        <v>395</v>
      </c>
      <c r="I136" s="2">
        <v>28.607594939999998</v>
      </c>
      <c r="J136" cm="1">
        <f t="array" ref="J136">IF(AND(I136&gt;=0,I136&lt;=20),0,IF(AND(I136&gt;20,I136&lt;=40),1, IF(AND(I136&gt;40,I136&lt;=60),2,IF(AND(I136&gt;60,I136&lt;=80),3, IF(AND(I136&gt;80,I136&lt;=100),4,”5”)))))</f>
        <v>1</v>
      </c>
    </row>
    <row r="137" spans="1:10" x14ac:dyDescent="0.3">
      <c r="A137" t="str">
        <f t="shared" si="3"/>
        <v>59034_138</v>
      </c>
      <c r="B137">
        <f>VLOOKUP(C137,[1]lookuptable!$A$1:$C$7,2,0)</f>
        <v>59034</v>
      </c>
      <c r="C137" t="s">
        <v>8</v>
      </c>
      <c r="D137" s="1">
        <v>138</v>
      </c>
      <c r="E137">
        <v>1</v>
      </c>
      <c r="F137">
        <v>88</v>
      </c>
      <c r="G137">
        <v>89</v>
      </c>
      <c r="H137">
        <v>434</v>
      </c>
      <c r="I137" s="2">
        <v>20.506912440000001</v>
      </c>
      <c r="J137" cm="1">
        <f t="array" ref="J137">IF(AND(I137&gt;=0,I137&lt;=20),0,IF(AND(I137&gt;20,I137&lt;=40),1, IF(AND(I137&gt;40,I137&lt;=60),2,IF(AND(I137&gt;60,I137&lt;=80),3, IF(AND(I137&gt;80,I137&lt;=100),4,”5”)))))</f>
        <v>1</v>
      </c>
    </row>
    <row r="138" spans="1:10" x14ac:dyDescent="0.3">
      <c r="A138" t="str">
        <f t="shared" si="3"/>
        <v>59034_139</v>
      </c>
      <c r="B138">
        <f>VLOOKUP(C138,[1]lookuptable!$A$1:$C$7,2,0)</f>
        <v>59034</v>
      </c>
      <c r="C138" t="s">
        <v>8</v>
      </c>
      <c r="D138" s="1">
        <v>139</v>
      </c>
      <c r="E138">
        <v>1</v>
      </c>
      <c r="F138">
        <v>114</v>
      </c>
      <c r="G138">
        <v>115</v>
      </c>
      <c r="H138">
        <v>323</v>
      </c>
      <c r="I138" s="2">
        <v>35.603715170000001</v>
      </c>
      <c r="J138" cm="1">
        <f t="array" ref="J138">IF(AND(I138&gt;=0,I138&lt;=20),0,IF(AND(I138&gt;20,I138&lt;=40),1, IF(AND(I138&gt;40,I138&lt;=60),2,IF(AND(I138&gt;60,I138&lt;=80),3, IF(AND(I138&gt;80,I138&lt;=100),4,”5”)))))</f>
        <v>1</v>
      </c>
    </row>
    <row r="139" spans="1:10" x14ac:dyDescent="0.3">
      <c r="A139" t="str">
        <f t="shared" si="3"/>
        <v>59034_140</v>
      </c>
      <c r="B139">
        <f>VLOOKUP(C139,[1]lookuptable!$A$1:$C$7,2,0)</f>
        <v>59034</v>
      </c>
      <c r="C139" t="s">
        <v>8</v>
      </c>
      <c r="D139" s="1">
        <v>140</v>
      </c>
      <c r="E139">
        <v>3</v>
      </c>
      <c r="F139">
        <v>70</v>
      </c>
      <c r="G139">
        <v>73</v>
      </c>
      <c r="H139">
        <v>292</v>
      </c>
      <c r="I139" s="2">
        <v>25</v>
      </c>
      <c r="J139" cm="1">
        <f t="array" ref="J139">IF(AND(I139&gt;=0,I139&lt;=20),0,IF(AND(I139&gt;20,I139&lt;=40),1, IF(AND(I139&gt;40,I139&lt;=60),2,IF(AND(I139&gt;60,I139&lt;=80),3, IF(AND(I139&gt;80,I139&lt;=100),4,”5”)))))</f>
        <v>1</v>
      </c>
    </row>
    <row r="140" spans="1:10" x14ac:dyDescent="0.3">
      <c r="A140" t="str">
        <f t="shared" si="3"/>
        <v>59034_141</v>
      </c>
      <c r="B140">
        <f>VLOOKUP(C140,[1]lookuptable!$A$1:$C$7,2,0)</f>
        <v>59034</v>
      </c>
      <c r="C140" t="s">
        <v>8</v>
      </c>
      <c r="D140" s="1">
        <v>141</v>
      </c>
      <c r="E140">
        <v>0</v>
      </c>
      <c r="F140">
        <v>108</v>
      </c>
      <c r="G140">
        <v>108</v>
      </c>
      <c r="H140">
        <v>444</v>
      </c>
      <c r="I140" s="2">
        <v>24.324324319999999</v>
      </c>
      <c r="J140" cm="1">
        <f t="array" ref="J140">IF(AND(I140&gt;=0,I140&lt;=20),0,IF(AND(I140&gt;20,I140&lt;=40),1, IF(AND(I140&gt;40,I140&lt;=60),2,IF(AND(I140&gt;60,I140&lt;=80),3, IF(AND(I140&gt;80,I140&lt;=100),4,”5”)))))</f>
        <v>1</v>
      </c>
    </row>
    <row r="141" spans="1:10" x14ac:dyDescent="0.3">
      <c r="A141" t="str">
        <f t="shared" si="3"/>
        <v>59034_142</v>
      </c>
      <c r="B141">
        <f>VLOOKUP(C141,[1]lookuptable!$A$1:$C$7,2,0)</f>
        <v>59034</v>
      </c>
      <c r="C141" t="s">
        <v>8</v>
      </c>
      <c r="D141" s="1">
        <v>142</v>
      </c>
      <c r="E141">
        <v>1</v>
      </c>
      <c r="F141">
        <v>65</v>
      </c>
      <c r="G141">
        <v>66</v>
      </c>
      <c r="H141">
        <v>486</v>
      </c>
      <c r="I141" s="2">
        <v>13.58024691</v>
      </c>
      <c r="J141" cm="1">
        <f t="array" ref="J141">IF(AND(I141&gt;=0,I141&lt;=20),0,IF(AND(I141&gt;20,I141&lt;=40),1, IF(AND(I141&gt;40,I141&lt;=60),2,IF(AND(I141&gt;60,I141&lt;=80),3, IF(AND(I141&gt;80,I141&lt;=100),4,”5”)))))</f>
        <v>0</v>
      </c>
    </row>
    <row r="142" spans="1:10" x14ac:dyDescent="0.3">
      <c r="A142" t="str">
        <f t="shared" si="3"/>
        <v>59034_143</v>
      </c>
      <c r="B142">
        <f>VLOOKUP(C142,[1]lookuptable!$A$1:$C$7,2,0)</f>
        <v>59034</v>
      </c>
      <c r="C142" t="s">
        <v>8</v>
      </c>
      <c r="D142" s="1">
        <v>143</v>
      </c>
      <c r="E142">
        <v>1</v>
      </c>
      <c r="F142">
        <v>93</v>
      </c>
      <c r="G142">
        <v>94</v>
      </c>
      <c r="H142">
        <v>295</v>
      </c>
      <c r="I142" s="2">
        <v>31.864406779999999</v>
      </c>
      <c r="J142" cm="1">
        <f t="array" ref="J142">IF(AND(I142&gt;=0,I142&lt;=20),0,IF(AND(I142&gt;20,I142&lt;=40),1, IF(AND(I142&gt;40,I142&lt;=60),2,IF(AND(I142&gt;60,I142&lt;=80),3, IF(AND(I142&gt;80,I142&lt;=100),4,”5”)))))</f>
        <v>1</v>
      </c>
    </row>
    <row r="143" spans="1:10" x14ac:dyDescent="0.3">
      <c r="A143" t="str">
        <f t="shared" si="3"/>
        <v>59034_144</v>
      </c>
      <c r="B143">
        <f>VLOOKUP(C143,[1]lookuptable!$A$1:$C$7,2,0)</f>
        <v>59034</v>
      </c>
      <c r="C143" t="s">
        <v>8</v>
      </c>
      <c r="D143" s="1">
        <v>144</v>
      </c>
      <c r="E143">
        <v>1</v>
      </c>
      <c r="F143">
        <v>93</v>
      </c>
      <c r="G143">
        <v>94</v>
      </c>
      <c r="H143">
        <v>311</v>
      </c>
      <c r="I143" s="2">
        <v>30.225080389999999</v>
      </c>
      <c r="J143" cm="1">
        <f t="array" ref="J143">IF(AND(I143&gt;=0,I143&lt;=20),0,IF(AND(I143&gt;20,I143&lt;=40),1, IF(AND(I143&gt;40,I143&lt;=60),2,IF(AND(I143&gt;60,I143&lt;=80),3, IF(AND(I143&gt;80,I143&lt;=100),4,”5”)))))</f>
        <v>1</v>
      </c>
    </row>
    <row r="144" spans="1:10" x14ac:dyDescent="0.3">
      <c r="A144" t="str">
        <f t="shared" si="3"/>
        <v>59034_145</v>
      </c>
      <c r="B144">
        <f>VLOOKUP(C144,[1]lookuptable!$A$1:$C$7,2,0)</f>
        <v>59034</v>
      </c>
      <c r="C144" t="s">
        <v>8</v>
      </c>
      <c r="D144" s="1">
        <v>145</v>
      </c>
      <c r="E144">
        <v>1</v>
      </c>
      <c r="F144">
        <v>197</v>
      </c>
      <c r="G144">
        <v>198</v>
      </c>
      <c r="H144">
        <v>571</v>
      </c>
      <c r="I144" s="2">
        <v>34.676007009999999</v>
      </c>
      <c r="J144" cm="1">
        <f t="array" ref="J144">IF(AND(I144&gt;=0,I144&lt;=20),0,IF(AND(I144&gt;20,I144&lt;=40),1, IF(AND(I144&gt;40,I144&lt;=60),2,IF(AND(I144&gt;60,I144&lt;=80),3, IF(AND(I144&gt;80,I144&lt;=100),4,”5”)))))</f>
        <v>1</v>
      </c>
    </row>
    <row r="145" spans="1:10" x14ac:dyDescent="0.3">
      <c r="A145" t="str">
        <f t="shared" si="3"/>
        <v>59034_146</v>
      </c>
      <c r="B145">
        <f>VLOOKUP(C145,[1]lookuptable!$A$1:$C$7,2,0)</f>
        <v>59034</v>
      </c>
      <c r="C145" t="s">
        <v>8</v>
      </c>
      <c r="D145" s="1">
        <v>146</v>
      </c>
      <c r="E145">
        <v>0</v>
      </c>
      <c r="F145">
        <v>132</v>
      </c>
      <c r="G145">
        <v>132</v>
      </c>
      <c r="H145">
        <v>407</v>
      </c>
      <c r="I145" s="2">
        <v>32.432432429999999</v>
      </c>
      <c r="J145" cm="1">
        <f t="array" ref="J145">IF(AND(I145&gt;=0,I145&lt;=20),0,IF(AND(I145&gt;20,I145&lt;=40),1, IF(AND(I145&gt;40,I145&lt;=60),2,IF(AND(I145&gt;60,I145&lt;=80),3, IF(AND(I145&gt;80,I145&lt;=100),4,”5”)))))</f>
        <v>1</v>
      </c>
    </row>
    <row r="146" spans="1:10" x14ac:dyDescent="0.3">
      <c r="A146" t="str">
        <f t="shared" si="3"/>
        <v>59034_147</v>
      </c>
      <c r="B146">
        <f>VLOOKUP(C146,[1]lookuptable!$A$1:$C$7,2,0)</f>
        <v>59034</v>
      </c>
      <c r="C146" t="s">
        <v>8</v>
      </c>
      <c r="D146" s="1">
        <v>147</v>
      </c>
      <c r="E146">
        <v>0</v>
      </c>
      <c r="F146">
        <v>113</v>
      </c>
      <c r="G146">
        <v>113</v>
      </c>
      <c r="H146">
        <v>319</v>
      </c>
      <c r="I146" s="2">
        <v>35.42319749</v>
      </c>
      <c r="J146" cm="1">
        <f t="array" ref="J146">IF(AND(I146&gt;=0,I146&lt;=20),0,IF(AND(I146&gt;20,I146&lt;=40),1, IF(AND(I146&gt;40,I146&lt;=60),2,IF(AND(I146&gt;60,I146&lt;=80),3, IF(AND(I146&gt;80,I146&lt;=100),4,”5”)))))</f>
        <v>1</v>
      </c>
    </row>
    <row r="147" spans="1:10" x14ac:dyDescent="0.3">
      <c r="A147" t="str">
        <f t="shared" si="3"/>
        <v>59034_148</v>
      </c>
      <c r="B147">
        <f>VLOOKUP(C147,[1]lookuptable!$A$1:$C$7,2,0)</f>
        <v>59034</v>
      </c>
      <c r="C147" t="s">
        <v>8</v>
      </c>
      <c r="D147" s="1">
        <v>148</v>
      </c>
      <c r="E147">
        <v>0</v>
      </c>
      <c r="F147">
        <v>137</v>
      </c>
      <c r="G147">
        <v>137</v>
      </c>
      <c r="H147">
        <v>477</v>
      </c>
      <c r="I147" s="2">
        <v>28.721174000000001</v>
      </c>
      <c r="J147" cm="1">
        <f t="array" ref="J147">IF(AND(I147&gt;=0,I147&lt;=20),0,IF(AND(I147&gt;20,I147&lt;=40),1, IF(AND(I147&gt;40,I147&lt;=60),2,IF(AND(I147&gt;60,I147&lt;=80),3, IF(AND(I147&gt;80,I147&lt;=100),4,”5”)))))</f>
        <v>1</v>
      </c>
    </row>
    <row r="148" spans="1:10" x14ac:dyDescent="0.3">
      <c r="A148" t="str">
        <f t="shared" si="3"/>
        <v>59034_149</v>
      </c>
      <c r="B148">
        <f>VLOOKUP(C148,[1]lookuptable!$A$1:$C$7,2,0)</f>
        <v>59034</v>
      </c>
      <c r="C148" t="s">
        <v>8</v>
      </c>
      <c r="D148" s="1">
        <v>149</v>
      </c>
      <c r="E148">
        <v>2</v>
      </c>
      <c r="F148">
        <v>98</v>
      </c>
      <c r="G148">
        <v>100</v>
      </c>
      <c r="H148">
        <v>352</v>
      </c>
      <c r="I148" s="2">
        <v>28.40909091</v>
      </c>
      <c r="J148" cm="1">
        <f t="array" ref="J148">IF(AND(I148&gt;=0,I148&lt;=20),0,IF(AND(I148&gt;20,I148&lt;=40),1, IF(AND(I148&gt;40,I148&lt;=60),2,IF(AND(I148&gt;60,I148&lt;=80),3, IF(AND(I148&gt;80,I148&lt;=100),4,”5”)))))</f>
        <v>1</v>
      </c>
    </row>
    <row r="149" spans="1:10" x14ac:dyDescent="0.3">
      <c r="A149" t="str">
        <f t="shared" si="3"/>
        <v>59034_150</v>
      </c>
      <c r="B149">
        <f>VLOOKUP(C149,[1]lookuptable!$A$1:$C$7,2,0)</f>
        <v>59034</v>
      </c>
      <c r="C149" t="s">
        <v>8</v>
      </c>
      <c r="D149" s="1">
        <v>150</v>
      </c>
      <c r="E149">
        <v>1</v>
      </c>
      <c r="F149">
        <v>93</v>
      </c>
      <c r="G149">
        <v>94</v>
      </c>
      <c r="H149">
        <v>327</v>
      </c>
      <c r="I149" s="2">
        <v>28.746177370000002</v>
      </c>
      <c r="J149" cm="1">
        <f t="array" ref="J149">IF(AND(I149&gt;=0,I149&lt;=20),0,IF(AND(I149&gt;20,I149&lt;=40),1, IF(AND(I149&gt;40,I149&lt;=60),2,IF(AND(I149&gt;60,I149&lt;=80),3, IF(AND(I149&gt;80,I149&lt;=100),4,”5”)))))</f>
        <v>1</v>
      </c>
    </row>
    <row r="150" spans="1:10" x14ac:dyDescent="0.3">
      <c r="A150" t="str">
        <f t="shared" si="3"/>
        <v>59034_151</v>
      </c>
      <c r="B150">
        <f>VLOOKUP(C150,[1]lookuptable!$A$1:$C$7,2,0)</f>
        <v>59034</v>
      </c>
      <c r="C150" t="s">
        <v>8</v>
      </c>
      <c r="D150" s="1">
        <v>151</v>
      </c>
      <c r="E150">
        <v>0</v>
      </c>
      <c r="F150">
        <v>104</v>
      </c>
      <c r="G150">
        <v>104</v>
      </c>
      <c r="H150">
        <v>411</v>
      </c>
      <c r="I150" s="2">
        <v>25.304136249999999</v>
      </c>
      <c r="J150" cm="1">
        <f t="array" ref="J150">IF(AND(I150&gt;=0,I150&lt;=20),0,IF(AND(I150&gt;20,I150&lt;=40),1, IF(AND(I150&gt;40,I150&lt;=60),2,IF(AND(I150&gt;60,I150&lt;=80),3, IF(AND(I150&gt;80,I150&lt;=100),4,”5”)))))</f>
        <v>1</v>
      </c>
    </row>
    <row r="151" spans="1:10" x14ac:dyDescent="0.3">
      <c r="A151" t="str">
        <f t="shared" si="3"/>
        <v>59034_152</v>
      </c>
      <c r="B151">
        <f>VLOOKUP(C151,[1]lookuptable!$A$1:$C$7,2,0)</f>
        <v>59034</v>
      </c>
      <c r="C151" t="s">
        <v>8</v>
      </c>
      <c r="D151" s="1">
        <v>152</v>
      </c>
      <c r="E151">
        <v>4</v>
      </c>
      <c r="F151">
        <v>129</v>
      </c>
      <c r="G151">
        <v>133</v>
      </c>
      <c r="H151">
        <v>484</v>
      </c>
      <c r="I151" s="2">
        <v>27.47933884</v>
      </c>
      <c r="J151" cm="1">
        <f t="array" ref="J151">IF(AND(I151&gt;=0,I151&lt;=20),0,IF(AND(I151&gt;20,I151&lt;=40),1, IF(AND(I151&gt;40,I151&lt;=60),2,IF(AND(I151&gt;60,I151&lt;=80),3, IF(AND(I151&gt;80,I151&lt;=100),4,”5”)))))</f>
        <v>1</v>
      </c>
    </row>
    <row r="152" spans="1:10" x14ac:dyDescent="0.3">
      <c r="A152" t="str">
        <f t="shared" si="3"/>
        <v>59034_153</v>
      </c>
      <c r="B152">
        <f>VLOOKUP(C152,[1]lookuptable!$A$1:$C$7,2,0)</f>
        <v>59034</v>
      </c>
      <c r="C152" t="s">
        <v>8</v>
      </c>
      <c r="D152" s="1">
        <v>153</v>
      </c>
      <c r="E152">
        <v>1</v>
      </c>
      <c r="F152">
        <v>162</v>
      </c>
      <c r="G152">
        <v>163</v>
      </c>
      <c r="H152">
        <v>576</v>
      </c>
      <c r="I152" s="2">
        <v>28.29861111</v>
      </c>
      <c r="J152" cm="1">
        <f t="array" ref="J152">IF(AND(I152&gt;=0,I152&lt;=20),0,IF(AND(I152&gt;20,I152&lt;=40),1, IF(AND(I152&gt;40,I152&lt;=60),2,IF(AND(I152&gt;60,I152&lt;=80),3, IF(AND(I152&gt;80,I152&lt;=100),4,”5”)))))</f>
        <v>1</v>
      </c>
    </row>
    <row r="153" spans="1:10" x14ac:dyDescent="0.3">
      <c r="A153" t="str">
        <f t="shared" si="3"/>
        <v>59034_154</v>
      </c>
      <c r="B153">
        <f>VLOOKUP(C153,[1]lookuptable!$A$1:$C$7,2,0)</f>
        <v>59034</v>
      </c>
      <c r="C153" t="s">
        <v>8</v>
      </c>
      <c r="D153" s="1">
        <v>154</v>
      </c>
      <c r="E153">
        <v>0</v>
      </c>
      <c r="F153">
        <v>99</v>
      </c>
      <c r="G153">
        <v>99</v>
      </c>
      <c r="H153">
        <v>457</v>
      </c>
      <c r="I153" s="2">
        <v>21.663019689999999</v>
      </c>
      <c r="J153" cm="1">
        <f t="array" ref="J153">IF(AND(I153&gt;=0,I153&lt;=20),0,IF(AND(I153&gt;20,I153&lt;=40),1, IF(AND(I153&gt;40,I153&lt;=60),2,IF(AND(I153&gt;60,I153&lt;=80),3, IF(AND(I153&gt;80,I153&lt;=100),4,”5”)))))</f>
        <v>1</v>
      </c>
    </row>
    <row r="154" spans="1:10" x14ac:dyDescent="0.3">
      <c r="A154" t="str">
        <f t="shared" si="3"/>
        <v>59034_155</v>
      </c>
      <c r="B154">
        <f>VLOOKUP(C154,[1]lookuptable!$A$1:$C$7,2,0)</f>
        <v>59034</v>
      </c>
      <c r="C154" t="s">
        <v>8</v>
      </c>
      <c r="D154" s="1">
        <v>155</v>
      </c>
      <c r="E154">
        <v>1</v>
      </c>
      <c r="F154">
        <v>199</v>
      </c>
      <c r="G154">
        <v>200</v>
      </c>
      <c r="H154">
        <v>381</v>
      </c>
      <c r="I154" s="2">
        <v>52.493438320000003</v>
      </c>
      <c r="J154" cm="1">
        <f t="array" ref="J154">IF(AND(I154&gt;=0,I154&lt;=20),0,IF(AND(I154&gt;20,I154&lt;=40),1, IF(AND(I154&gt;40,I154&lt;=60),2,IF(AND(I154&gt;60,I154&lt;=80),3, IF(AND(I154&gt;80,I154&lt;=100),4,”5”)))))</f>
        <v>2</v>
      </c>
    </row>
    <row r="155" spans="1:10" x14ac:dyDescent="0.3">
      <c r="A155" t="str">
        <f t="shared" si="3"/>
        <v>59034_156</v>
      </c>
      <c r="B155">
        <f>VLOOKUP(C155,[1]lookuptable!$A$1:$C$7,2,0)</f>
        <v>59034</v>
      </c>
      <c r="C155" t="s">
        <v>8</v>
      </c>
      <c r="D155" s="1">
        <v>156</v>
      </c>
      <c r="E155">
        <v>0</v>
      </c>
      <c r="F155">
        <v>73</v>
      </c>
      <c r="G155">
        <v>73</v>
      </c>
      <c r="H155">
        <v>293</v>
      </c>
      <c r="I155" s="2">
        <v>24.914675769999999</v>
      </c>
      <c r="J155" cm="1">
        <f t="array" ref="J155">IF(AND(I155&gt;=0,I155&lt;=20),0,IF(AND(I155&gt;20,I155&lt;=40),1, IF(AND(I155&gt;40,I155&lt;=60),2,IF(AND(I155&gt;60,I155&lt;=80),3, IF(AND(I155&gt;80,I155&lt;=100),4,”5”)))))</f>
        <v>1</v>
      </c>
    </row>
    <row r="156" spans="1:10" x14ac:dyDescent="0.3">
      <c r="A156" t="str">
        <f t="shared" si="3"/>
        <v>59034_157</v>
      </c>
      <c r="B156">
        <f>VLOOKUP(C156,[1]lookuptable!$A$1:$C$7,2,0)</f>
        <v>59034</v>
      </c>
      <c r="C156" t="s">
        <v>8</v>
      </c>
      <c r="D156" s="1">
        <v>157</v>
      </c>
      <c r="E156">
        <v>0</v>
      </c>
      <c r="F156">
        <v>178</v>
      </c>
      <c r="G156">
        <v>178</v>
      </c>
      <c r="H156">
        <v>675</v>
      </c>
      <c r="I156" s="2">
        <v>26.37037037</v>
      </c>
      <c r="J156" cm="1">
        <f t="array" ref="J156">IF(AND(I156&gt;=0,I156&lt;=20),0,IF(AND(I156&gt;20,I156&lt;=40),1, IF(AND(I156&gt;40,I156&lt;=60),2,IF(AND(I156&gt;60,I156&lt;=80),3, IF(AND(I156&gt;80,I156&lt;=100),4,”5”)))))</f>
        <v>1</v>
      </c>
    </row>
    <row r="157" spans="1:10" x14ac:dyDescent="0.3">
      <c r="A157" t="str">
        <f t="shared" si="3"/>
        <v>59034_158</v>
      </c>
      <c r="B157">
        <f>VLOOKUP(C157,[1]lookuptable!$A$1:$C$7,2,0)</f>
        <v>59034</v>
      </c>
      <c r="C157" t="s">
        <v>8</v>
      </c>
      <c r="D157" s="1">
        <v>158</v>
      </c>
      <c r="E157">
        <v>0</v>
      </c>
      <c r="F157">
        <v>234</v>
      </c>
      <c r="G157">
        <v>234</v>
      </c>
      <c r="H157">
        <v>767</v>
      </c>
      <c r="I157" s="2">
        <v>30.508474580000001</v>
      </c>
      <c r="J157" cm="1">
        <f t="array" ref="J157">IF(AND(I157&gt;=0,I157&lt;=20),0,IF(AND(I157&gt;20,I157&lt;=40),1, IF(AND(I157&gt;40,I157&lt;=60),2,IF(AND(I157&gt;60,I157&lt;=80),3, IF(AND(I157&gt;80,I157&lt;=100),4,”5”)))))</f>
        <v>1</v>
      </c>
    </row>
    <row r="158" spans="1:10" x14ac:dyDescent="0.3">
      <c r="A158" t="str">
        <f t="shared" si="3"/>
        <v>59034_159</v>
      </c>
      <c r="B158">
        <f>VLOOKUP(C158,[1]lookuptable!$A$1:$C$7,2,0)</f>
        <v>59034</v>
      </c>
      <c r="C158" t="s">
        <v>8</v>
      </c>
      <c r="D158" s="1">
        <v>159</v>
      </c>
      <c r="E158">
        <v>4</v>
      </c>
      <c r="F158">
        <v>238</v>
      </c>
      <c r="G158">
        <v>242</v>
      </c>
      <c r="H158">
        <v>733</v>
      </c>
      <c r="I158" s="2">
        <v>33.015006820000004</v>
      </c>
      <c r="J158" cm="1">
        <f t="array" ref="J158">IF(AND(I158&gt;=0,I158&lt;=20),0,IF(AND(I158&gt;20,I158&lt;=40),1, IF(AND(I158&gt;40,I158&lt;=60),2,IF(AND(I158&gt;60,I158&lt;=80),3, IF(AND(I158&gt;80,I158&lt;=100),4,”5”)))))</f>
        <v>1</v>
      </c>
    </row>
    <row r="159" spans="1:10" x14ac:dyDescent="0.3">
      <c r="A159" t="str">
        <f t="shared" si="3"/>
        <v>59034_161</v>
      </c>
      <c r="B159">
        <f>VLOOKUP(C159,[1]lookuptable!$A$1:$C$7,2,0)</f>
        <v>59034</v>
      </c>
      <c r="C159" t="s">
        <v>8</v>
      </c>
      <c r="D159" s="1">
        <v>161</v>
      </c>
      <c r="E159">
        <v>0</v>
      </c>
      <c r="F159">
        <v>97</v>
      </c>
      <c r="G159">
        <v>97</v>
      </c>
      <c r="H159">
        <v>475</v>
      </c>
      <c r="I159" s="2">
        <v>20.421052629999998</v>
      </c>
      <c r="J159" cm="1">
        <f t="array" ref="J159">IF(AND(I159&gt;=0,I159&lt;=20),0,IF(AND(I159&gt;20,I159&lt;=40),1, IF(AND(I159&gt;40,I159&lt;=60),2,IF(AND(I159&gt;60,I159&lt;=80),3, IF(AND(I159&gt;80,I159&lt;=100),4,”5”)))))</f>
        <v>1</v>
      </c>
    </row>
    <row r="160" spans="1:10" x14ac:dyDescent="0.3">
      <c r="A160" t="str">
        <f t="shared" si="3"/>
        <v>59034_162</v>
      </c>
      <c r="B160">
        <f>VLOOKUP(C160,[1]lookuptable!$A$1:$C$7,2,0)</f>
        <v>59034</v>
      </c>
      <c r="C160" t="s">
        <v>8</v>
      </c>
      <c r="D160" s="1">
        <v>162</v>
      </c>
      <c r="E160">
        <v>0</v>
      </c>
      <c r="F160">
        <v>120</v>
      </c>
      <c r="G160">
        <v>120</v>
      </c>
      <c r="H160">
        <v>584</v>
      </c>
      <c r="I160" s="2">
        <v>20.547945210000002</v>
      </c>
      <c r="J160" cm="1">
        <f t="array" ref="J160">IF(AND(I160&gt;=0,I160&lt;=20),0,IF(AND(I160&gt;20,I160&lt;=40),1, IF(AND(I160&gt;40,I160&lt;=60),2,IF(AND(I160&gt;60,I160&lt;=80),3, IF(AND(I160&gt;80,I160&lt;=100),4,”5”)))))</f>
        <v>1</v>
      </c>
    </row>
    <row r="161" spans="1:10" x14ac:dyDescent="0.3">
      <c r="A161" t="str">
        <f t="shared" si="3"/>
        <v>59034_163</v>
      </c>
      <c r="B161">
        <f>VLOOKUP(C161,[1]lookuptable!$A$1:$C$7,2,0)</f>
        <v>59034</v>
      </c>
      <c r="C161" t="s">
        <v>8</v>
      </c>
      <c r="D161" s="1">
        <v>163</v>
      </c>
      <c r="E161">
        <v>0</v>
      </c>
      <c r="F161">
        <v>99</v>
      </c>
      <c r="G161">
        <v>99</v>
      </c>
      <c r="H161">
        <v>389</v>
      </c>
      <c r="I161" s="2">
        <v>25.449871470000001</v>
      </c>
      <c r="J161" cm="1">
        <f t="array" ref="J161">IF(AND(I161&gt;=0,I161&lt;=20),0,IF(AND(I161&gt;20,I161&lt;=40),1, IF(AND(I161&gt;40,I161&lt;=60),2,IF(AND(I161&gt;60,I161&lt;=80),3, IF(AND(I161&gt;80,I161&lt;=100),4,”5”)))))</f>
        <v>1</v>
      </c>
    </row>
    <row r="162" spans="1:10" x14ac:dyDescent="0.3">
      <c r="A162" t="str">
        <f t="shared" si="3"/>
        <v>59034_164</v>
      </c>
      <c r="B162">
        <f>VLOOKUP(C162,[1]lookuptable!$A$1:$C$7,2,0)</f>
        <v>59034</v>
      </c>
      <c r="C162" t="s">
        <v>8</v>
      </c>
      <c r="D162" s="1">
        <v>164</v>
      </c>
      <c r="E162">
        <v>2</v>
      </c>
      <c r="F162">
        <v>121</v>
      </c>
      <c r="G162">
        <v>123</v>
      </c>
      <c r="H162">
        <v>497</v>
      </c>
      <c r="I162" s="2">
        <v>24.748490950000001</v>
      </c>
      <c r="J162" cm="1">
        <f t="array" ref="J162">IF(AND(I162&gt;=0,I162&lt;=20),0,IF(AND(I162&gt;20,I162&lt;=40),1, IF(AND(I162&gt;40,I162&lt;=60),2,IF(AND(I162&gt;60,I162&lt;=80),3, IF(AND(I162&gt;80,I162&lt;=100),4,”5”)))))</f>
        <v>1</v>
      </c>
    </row>
    <row r="163" spans="1:10" x14ac:dyDescent="0.3">
      <c r="A163" t="str">
        <f t="shared" si="3"/>
        <v>59034_165</v>
      </c>
      <c r="B163">
        <f>VLOOKUP(C163,[1]lookuptable!$A$1:$C$7,2,0)</f>
        <v>59034</v>
      </c>
      <c r="C163" t="s">
        <v>8</v>
      </c>
      <c r="D163" s="1">
        <v>165</v>
      </c>
      <c r="E163">
        <v>0</v>
      </c>
      <c r="F163">
        <v>79</v>
      </c>
      <c r="G163">
        <v>79</v>
      </c>
      <c r="H163">
        <v>407</v>
      </c>
      <c r="I163" s="2">
        <v>19.41031941</v>
      </c>
      <c r="J163" cm="1">
        <f t="array" ref="J163">IF(AND(I163&gt;=0,I163&lt;=20),0,IF(AND(I163&gt;20,I163&lt;=40),1, IF(AND(I163&gt;40,I163&lt;=60),2,IF(AND(I163&gt;60,I163&lt;=80),3, IF(AND(I163&gt;80,I163&lt;=100),4,”5”)))))</f>
        <v>0</v>
      </c>
    </row>
    <row r="164" spans="1:10" x14ac:dyDescent="0.3">
      <c r="A164" t="str">
        <f t="shared" si="3"/>
        <v>59034_166</v>
      </c>
      <c r="B164">
        <f>VLOOKUP(C164,[1]lookuptable!$A$1:$C$7,2,0)</f>
        <v>59034</v>
      </c>
      <c r="C164" t="s">
        <v>8</v>
      </c>
      <c r="D164" s="1">
        <v>166</v>
      </c>
      <c r="E164">
        <v>1</v>
      </c>
      <c r="F164">
        <v>88</v>
      </c>
      <c r="G164">
        <v>89</v>
      </c>
      <c r="H164">
        <v>430</v>
      </c>
      <c r="I164" s="2">
        <v>20.697674419999998</v>
      </c>
      <c r="J164" cm="1">
        <f t="array" ref="J164">IF(AND(I164&gt;=0,I164&lt;=20),0,IF(AND(I164&gt;20,I164&lt;=40),1, IF(AND(I164&gt;40,I164&lt;=60),2,IF(AND(I164&gt;60,I164&lt;=80),3, IF(AND(I164&gt;80,I164&lt;=100),4,”5”)))))</f>
        <v>1</v>
      </c>
    </row>
    <row r="165" spans="1:10" x14ac:dyDescent="0.3">
      <c r="A165" t="str">
        <f t="shared" si="3"/>
        <v>59034_167</v>
      </c>
      <c r="B165">
        <f>VLOOKUP(C165,[1]lookuptable!$A$1:$C$7,2,0)</f>
        <v>59034</v>
      </c>
      <c r="C165" t="s">
        <v>8</v>
      </c>
      <c r="D165" s="1">
        <v>167</v>
      </c>
      <c r="E165">
        <v>1</v>
      </c>
      <c r="F165">
        <v>126</v>
      </c>
      <c r="G165">
        <v>127</v>
      </c>
      <c r="H165">
        <v>421</v>
      </c>
      <c r="I165" s="2">
        <v>30.166270780000001</v>
      </c>
      <c r="J165" cm="1">
        <f t="array" ref="J165">IF(AND(I165&gt;=0,I165&lt;=20),0,IF(AND(I165&gt;20,I165&lt;=40),1, IF(AND(I165&gt;40,I165&lt;=60),2,IF(AND(I165&gt;60,I165&lt;=80),3, IF(AND(I165&gt;80,I165&lt;=100),4,”5”)))))</f>
        <v>1</v>
      </c>
    </row>
    <row r="166" spans="1:10" x14ac:dyDescent="0.3">
      <c r="A166" t="str">
        <f t="shared" si="3"/>
        <v>59034_168</v>
      </c>
      <c r="B166">
        <f>VLOOKUP(C166,[1]lookuptable!$A$1:$C$7,2,0)</f>
        <v>59034</v>
      </c>
      <c r="C166" t="s">
        <v>8</v>
      </c>
      <c r="D166" s="1">
        <v>168</v>
      </c>
      <c r="E166">
        <v>0</v>
      </c>
      <c r="F166">
        <v>126</v>
      </c>
      <c r="G166">
        <v>126</v>
      </c>
      <c r="H166">
        <v>373</v>
      </c>
      <c r="I166" s="2">
        <v>33.780160860000002</v>
      </c>
      <c r="J166" cm="1">
        <f t="array" ref="J166">IF(AND(I166&gt;=0,I166&lt;=20),0,IF(AND(I166&gt;20,I166&lt;=40),1, IF(AND(I166&gt;40,I166&lt;=60),2,IF(AND(I166&gt;60,I166&lt;=80),3, IF(AND(I166&gt;80,I166&lt;=100),4,”5”)))))</f>
        <v>1</v>
      </c>
    </row>
    <row r="167" spans="1:10" x14ac:dyDescent="0.3">
      <c r="A167" t="str">
        <f t="shared" si="3"/>
        <v>59034_169</v>
      </c>
      <c r="B167">
        <f>VLOOKUP(C167,[1]lookuptable!$A$1:$C$7,2,0)</f>
        <v>59034</v>
      </c>
      <c r="C167" t="s">
        <v>8</v>
      </c>
      <c r="D167" s="1">
        <v>169</v>
      </c>
      <c r="E167">
        <v>2</v>
      </c>
      <c r="F167">
        <v>145</v>
      </c>
      <c r="G167">
        <v>147</v>
      </c>
      <c r="H167">
        <v>413</v>
      </c>
      <c r="I167" s="2">
        <v>35.593220340000002</v>
      </c>
      <c r="J167" cm="1">
        <f t="array" ref="J167">IF(AND(I167&gt;=0,I167&lt;=20),0,IF(AND(I167&gt;20,I167&lt;=40),1, IF(AND(I167&gt;40,I167&lt;=60),2,IF(AND(I167&gt;60,I167&lt;=80),3, IF(AND(I167&gt;80,I167&lt;=100),4,”5”)))))</f>
        <v>1</v>
      </c>
    </row>
    <row r="168" spans="1:10" x14ac:dyDescent="0.3">
      <c r="A168" t="str">
        <f t="shared" si="3"/>
        <v>59034_170</v>
      </c>
      <c r="B168">
        <f>VLOOKUP(C168,[1]lookuptable!$A$1:$C$7,2,0)</f>
        <v>59034</v>
      </c>
      <c r="C168" t="s">
        <v>8</v>
      </c>
      <c r="D168" s="1">
        <v>170</v>
      </c>
      <c r="E168">
        <v>197</v>
      </c>
      <c r="F168">
        <v>0</v>
      </c>
      <c r="G168">
        <v>0</v>
      </c>
      <c r="H168">
        <v>387</v>
      </c>
      <c r="I168" s="2">
        <f>((E168+G168)/H168)*100</f>
        <v>50.904392764857889</v>
      </c>
      <c r="J168" cm="1">
        <f t="array" ref="J168">IF(AND(I168&gt;=0,I168&lt;=20),0,IF(AND(I168&gt;20,I168&lt;=40),1, IF(AND(I168&gt;40,I168&lt;=60),2,IF(AND(I168&gt;60,I168&lt;=80),3, IF(AND(I168&gt;80,I168&lt;=100),4,”5”)))))</f>
        <v>2</v>
      </c>
    </row>
    <row r="169" spans="1:10" x14ac:dyDescent="0.3">
      <c r="A169" t="str">
        <f t="shared" si="3"/>
        <v>59034_171</v>
      </c>
      <c r="B169">
        <f>VLOOKUP(C169,[1]lookuptable!$A$1:$C$7,2,0)</f>
        <v>59034</v>
      </c>
      <c r="C169" t="s">
        <v>8</v>
      </c>
      <c r="D169" s="1">
        <v>171</v>
      </c>
      <c r="E169">
        <v>0</v>
      </c>
      <c r="F169">
        <v>165</v>
      </c>
      <c r="G169">
        <v>165</v>
      </c>
      <c r="H169">
        <v>452</v>
      </c>
      <c r="I169" s="2">
        <v>36.504424780000001</v>
      </c>
      <c r="J169" cm="1">
        <f t="array" ref="J169">IF(AND(I169&gt;=0,I169&lt;=20),0,IF(AND(I169&gt;20,I169&lt;=40),1, IF(AND(I169&gt;40,I169&lt;=60),2,IF(AND(I169&gt;60,I169&lt;=80),3, IF(AND(I169&gt;80,I169&lt;=100),4,”5”)))))</f>
        <v>1</v>
      </c>
    </row>
    <row r="170" spans="1:10" x14ac:dyDescent="0.3">
      <c r="A170" t="str">
        <f t="shared" si="3"/>
        <v>59034_172</v>
      </c>
      <c r="B170">
        <f>VLOOKUP(C170,[1]lookuptable!$A$1:$C$7,2,0)</f>
        <v>59034</v>
      </c>
      <c r="C170" t="s">
        <v>8</v>
      </c>
      <c r="D170" s="1">
        <v>172</v>
      </c>
      <c r="E170">
        <v>2</v>
      </c>
      <c r="F170">
        <v>137</v>
      </c>
      <c r="G170">
        <v>139</v>
      </c>
      <c r="H170">
        <v>306</v>
      </c>
      <c r="I170" s="2">
        <v>45.424836599999999</v>
      </c>
      <c r="J170" cm="1">
        <f t="array" ref="J170">IF(AND(I170&gt;=0,I170&lt;=20),0,IF(AND(I170&gt;20,I170&lt;=40),1, IF(AND(I170&gt;40,I170&lt;=60),2,IF(AND(I170&gt;60,I170&lt;=80),3, IF(AND(I170&gt;80,I170&lt;=100),4,”5”)))))</f>
        <v>2</v>
      </c>
    </row>
    <row r="171" spans="1:10" x14ac:dyDescent="0.3">
      <c r="A171" t="str">
        <f t="shared" si="3"/>
        <v>59034_173</v>
      </c>
      <c r="B171">
        <f>VLOOKUP(C171,[1]lookuptable!$A$1:$C$7,2,0)</f>
        <v>59034</v>
      </c>
      <c r="C171" t="s">
        <v>8</v>
      </c>
      <c r="D171" s="1">
        <v>173</v>
      </c>
      <c r="E171">
        <v>0</v>
      </c>
      <c r="F171">
        <v>121</v>
      </c>
      <c r="G171">
        <v>121</v>
      </c>
      <c r="H171">
        <v>438</v>
      </c>
      <c r="I171" s="2">
        <v>27.62557078</v>
      </c>
      <c r="J171" cm="1">
        <f t="array" ref="J171">IF(AND(I171&gt;=0,I171&lt;=20),0,IF(AND(I171&gt;20,I171&lt;=40),1, IF(AND(I171&gt;40,I171&lt;=60),2,IF(AND(I171&gt;60,I171&lt;=80),3, IF(AND(I171&gt;80,I171&lt;=100),4,”5”)))))</f>
        <v>1</v>
      </c>
    </row>
    <row r="172" spans="1:10" x14ac:dyDescent="0.3">
      <c r="A172" t="str">
        <f t="shared" si="3"/>
        <v>59034_174</v>
      </c>
      <c r="B172">
        <f>VLOOKUP(C172,[1]lookuptable!$A$1:$C$7,2,0)</f>
        <v>59034</v>
      </c>
      <c r="C172" t="s">
        <v>8</v>
      </c>
      <c r="D172" s="1">
        <v>174</v>
      </c>
      <c r="E172">
        <v>180</v>
      </c>
      <c r="F172">
        <v>0</v>
      </c>
      <c r="G172">
        <v>0</v>
      </c>
      <c r="H172">
        <v>346</v>
      </c>
      <c r="I172" s="2">
        <f>((E172+G172)/H172)*100</f>
        <v>52.023121387283233</v>
      </c>
      <c r="J172" cm="1">
        <f t="array" ref="J172">IF(AND(I172&gt;=0,I172&lt;=20),0,IF(AND(I172&gt;20,I172&lt;=40),1, IF(AND(I172&gt;40,I172&lt;=60),2,IF(AND(I172&gt;60,I172&lt;=80),3, IF(AND(I172&gt;80,I172&lt;=100),4,”5”)))))</f>
        <v>2</v>
      </c>
    </row>
    <row r="173" spans="1:10" x14ac:dyDescent="0.3">
      <c r="A173" t="str">
        <f t="shared" si="3"/>
        <v>59034_175</v>
      </c>
      <c r="B173">
        <f>VLOOKUP(C173,[1]lookuptable!$A$1:$C$7,2,0)</f>
        <v>59034</v>
      </c>
      <c r="C173" t="s">
        <v>8</v>
      </c>
      <c r="D173" s="1">
        <v>175</v>
      </c>
      <c r="E173">
        <v>1</v>
      </c>
      <c r="F173">
        <v>88</v>
      </c>
      <c r="G173">
        <v>89</v>
      </c>
      <c r="H173">
        <v>334</v>
      </c>
      <c r="I173" s="2">
        <v>26.646706590000001</v>
      </c>
      <c r="J173" cm="1">
        <f t="array" ref="J173">IF(AND(I173&gt;=0,I173&lt;=20),0,IF(AND(I173&gt;20,I173&lt;=40),1, IF(AND(I173&gt;40,I173&lt;=60),2,IF(AND(I173&gt;60,I173&lt;=80),3, IF(AND(I173&gt;80,I173&lt;=100),4,”5”)))))</f>
        <v>1</v>
      </c>
    </row>
    <row r="174" spans="1:10" x14ac:dyDescent="0.3">
      <c r="A174" t="str">
        <f t="shared" si="3"/>
        <v>59034_176</v>
      </c>
      <c r="B174">
        <f>VLOOKUP(C174,[1]lookuptable!$A$1:$C$7,2,0)</f>
        <v>59034</v>
      </c>
      <c r="C174" t="s">
        <v>8</v>
      </c>
      <c r="D174" s="1">
        <v>176</v>
      </c>
      <c r="E174">
        <v>0</v>
      </c>
      <c r="F174">
        <v>118</v>
      </c>
      <c r="G174">
        <v>118</v>
      </c>
      <c r="H174">
        <v>401</v>
      </c>
      <c r="I174" s="2">
        <v>29.426433920000001</v>
      </c>
      <c r="J174" cm="1">
        <f t="array" ref="J174">IF(AND(I174&gt;=0,I174&lt;=20),0,IF(AND(I174&gt;20,I174&lt;=40),1, IF(AND(I174&gt;40,I174&lt;=60),2,IF(AND(I174&gt;60,I174&lt;=80),3, IF(AND(I174&gt;80,I174&lt;=100),4,”5”)))))</f>
        <v>1</v>
      </c>
    </row>
    <row r="175" spans="1:10" x14ac:dyDescent="0.3">
      <c r="A175" t="str">
        <f t="shared" si="3"/>
        <v>59034_177</v>
      </c>
      <c r="B175">
        <f>VLOOKUP(C175,[1]lookuptable!$A$1:$C$7,2,0)</f>
        <v>59034</v>
      </c>
      <c r="C175" t="s">
        <v>8</v>
      </c>
      <c r="D175" s="1">
        <v>177</v>
      </c>
      <c r="E175">
        <v>124</v>
      </c>
      <c r="F175">
        <v>0</v>
      </c>
      <c r="G175">
        <v>0</v>
      </c>
      <c r="H175">
        <v>354</v>
      </c>
      <c r="I175" s="2">
        <f>((E175+G175)/H175)*100</f>
        <v>35.028248587570623</v>
      </c>
      <c r="J175" cm="1">
        <f t="array" ref="J175">IF(AND(I175&gt;=0,I175&lt;=20),0,IF(AND(I175&gt;20,I175&lt;=40),1, IF(AND(I175&gt;40,I175&lt;=60),2,IF(AND(I175&gt;60,I175&lt;=80),3, IF(AND(I175&gt;80,I175&lt;=100),4,”5”)))))</f>
        <v>1</v>
      </c>
    </row>
    <row r="176" spans="1:10" x14ac:dyDescent="0.3">
      <c r="A176" t="str">
        <f t="shared" si="3"/>
        <v>59034_178</v>
      </c>
      <c r="B176">
        <f>VLOOKUP(C176,[1]lookuptable!$A$1:$C$7,2,0)</f>
        <v>59034</v>
      </c>
      <c r="C176" t="s">
        <v>8</v>
      </c>
      <c r="D176" s="1">
        <v>178</v>
      </c>
      <c r="E176">
        <v>0</v>
      </c>
      <c r="F176">
        <v>74</v>
      </c>
      <c r="G176">
        <v>74</v>
      </c>
      <c r="H176">
        <v>281</v>
      </c>
      <c r="I176" s="2">
        <v>26.334519570000001</v>
      </c>
      <c r="J176" cm="1">
        <f t="array" ref="J176">IF(AND(I176&gt;=0,I176&lt;=20),0,IF(AND(I176&gt;20,I176&lt;=40),1, IF(AND(I176&gt;40,I176&lt;=60),2,IF(AND(I176&gt;60,I176&lt;=80),3, IF(AND(I176&gt;80,I176&lt;=100),4,”5”)))))</f>
        <v>1</v>
      </c>
    </row>
    <row r="177" spans="1:10" x14ac:dyDescent="0.3">
      <c r="A177" t="str">
        <f t="shared" si="3"/>
        <v>59034_179</v>
      </c>
      <c r="B177">
        <f>VLOOKUP(C177,[1]lookuptable!$A$1:$C$7,2,0)</f>
        <v>59034</v>
      </c>
      <c r="C177" t="s">
        <v>8</v>
      </c>
      <c r="D177" s="1">
        <v>179</v>
      </c>
      <c r="E177">
        <v>0</v>
      </c>
      <c r="F177">
        <v>131</v>
      </c>
      <c r="G177">
        <v>131</v>
      </c>
      <c r="H177">
        <v>512</v>
      </c>
      <c r="I177" s="2">
        <v>25.5859375</v>
      </c>
      <c r="J177" cm="1">
        <f t="array" ref="J177">IF(AND(I177&gt;=0,I177&lt;=20),0,IF(AND(I177&gt;20,I177&lt;=40),1, IF(AND(I177&gt;40,I177&lt;=60),2,IF(AND(I177&gt;60,I177&lt;=80),3, IF(AND(I177&gt;80,I177&lt;=100),4,”5”)))))</f>
        <v>1</v>
      </c>
    </row>
    <row r="178" spans="1:10" x14ac:dyDescent="0.3">
      <c r="A178" t="str">
        <f t="shared" si="3"/>
        <v>59034_180</v>
      </c>
      <c r="B178">
        <f>VLOOKUP(C178,[1]lookuptable!$A$1:$C$7,2,0)</f>
        <v>59034</v>
      </c>
      <c r="C178" t="s">
        <v>8</v>
      </c>
      <c r="D178" s="1">
        <v>180</v>
      </c>
      <c r="E178">
        <v>2</v>
      </c>
      <c r="F178">
        <v>176</v>
      </c>
      <c r="G178">
        <v>178</v>
      </c>
      <c r="H178">
        <v>350</v>
      </c>
      <c r="I178" s="2">
        <v>50.857142860000003</v>
      </c>
      <c r="J178" cm="1">
        <f t="array" ref="J178">IF(AND(I178&gt;=0,I178&lt;=20),0,IF(AND(I178&gt;20,I178&lt;=40),1, IF(AND(I178&gt;40,I178&lt;=60),2,IF(AND(I178&gt;60,I178&lt;=80),3, IF(AND(I178&gt;80,I178&lt;=100),4,”5”)))))</f>
        <v>2</v>
      </c>
    </row>
    <row r="179" spans="1:10" x14ac:dyDescent="0.3">
      <c r="A179" t="str">
        <f t="shared" si="3"/>
        <v>59034_181</v>
      </c>
      <c r="B179">
        <f>VLOOKUP(C179,[1]lookuptable!$A$1:$C$7,2,0)</f>
        <v>59034</v>
      </c>
      <c r="C179" t="s">
        <v>8</v>
      </c>
      <c r="D179" s="1">
        <v>181</v>
      </c>
      <c r="E179">
        <v>0</v>
      </c>
      <c r="F179">
        <v>88</v>
      </c>
      <c r="G179">
        <v>88</v>
      </c>
      <c r="H179">
        <v>330</v>
      </c>
      <c r="I179" s="2">
        <v>26.666666670000001</v>
      </c>
      <c r="J179" cm="1">
        <f t="array" ref="J179">IF(AND(I179&gt;=0,I179&lt;=20),0,IF(AND(I179&gt;20,I179&lt;=40),1, IF(AND(I179&gt;40,I179&lt;=60),2,IF(AND(I179&gt;60,I179&lt;=80),3, IF(AND(I179&gt;80,I179&lt;=100),4,”5”)))))</f>
        <v>1</v>
      </c>
    </row>
    <row r="180" spans="1:10" x14ac:dyDescent="0.3">
      <c r="A180" t="str">
        <f t="shared" si="3"/>
        <v>59034_182</v>
      </c>
      <c r="B180">
        <f>VLOOKUP(C180,[1]lookuptable!$A$1:$C$7,2,0)</f>
        <v>59034</v>
      </c>
      <c r="C180" t="s">
        <v>8</v>
      </c>
      <c r="D180" s="1">
        <v>182</v>
      </c>
      <c r="E180">
        <v>2</v>
      </c>
      <c r="F180">
        <v>182</v>
      </c>
      <c r="G180">
        <v>184</v>
      </c>
      <c r="H180">
        <v>586</v>
      </c>
      <c r="I180" s="2">
        <v>31.399317409999998</v>
      </c>
      <c r="J180" cm="1">
        <f t="array" ref="J180">IF(AND(I180&gt;=0,I180&lt;=20),0,IF(AND(I180&gt;20,I180&lt;=40),1, IF(AND(I180&gt;40,I180&lt;=60),2,IF(AND(I180&gt;60,I180&lt;=80),3, IF(AND(I180&gt;80,I180&lt;=100),4,”5”)))))</f>
        <v>1</v>
      </c>
    </row>
    <row r="181" spans="1:10" x14ac:dyDescent="0.3">
      <c r="A181" t="str">
        <f t="shared" si="3"/>
        <v>59034_183</v>
      </c>
      <c r="B181">
        <f>VLOOKUP(C181,[1]lookuptable!$A$1:$C$7,2,0)</f>
        <v>59034</v>
      </c>
      <c r="C181" t="s">
        <v>8</v>
      </c>
      <c r="D181" s="1">
        <v>183</v>
      </c>
      <c r="E181">
        <v>0</v>
      </c>
      <c r="F181">
        <v>100</v>
      </c>
      <c r="G181">
        <v>100</v>
      </c>
      <c r="H181">
        <v>494</v>
      </c>
      <c r="I181" s="2">
        <v>20.242914979999998</v>
      </c>
      <c r="J181" cm="1">
        <f t="array" ref="J181">IF(AND(I181&gt;=0,I181&lt;=20),0,IF(AND(I181&gt;20,I181&lt;=40),1, IF(AND(I181&gt;40,I181&lt;=60),2,IF(AND(I181&gt;60,I181&lt;=80),3, IF(AND(I181&gt;80,I181&lt;=100),4,”5”)))))</f>
        <v>1</v>
      </c>
    </row>
    <row r="182" spans="1:10" x14ac:dyDescent="0.3">
      <c r="A182" t="str">
        <f t="shared" si="3"/>
        <v>59034_184</v>
      </c>
      <c r="B182">
        <f>VLOOKUP(C182,[1]lookuptable!$A$1:$C$7,2,0)</f>
        <v>59034</v>
      </c>
      <c r="C182" t="s">
        <v>8</v>
      </c>
      <c r="D182" s="1">
        <v>184</v>
      </c>
      <c r="E182">
        <v>0</v>
      </c>
      <c r="F182">
        <v>58</v>
      </c>
      <c r="G182">
        <v>58</v>
      </c>
      <c r="H182">
        <v>414</v>
      </c>
      <c r="I182" s="2">
        <v>14.00966184</v>
      </c>
      <c r="J182" cm="1">
        <f t="array" ref="J182">IF(AND(I182&gt;=0,I182&lt;=20),0,IF(AND(I182&gt;20,I182&lt;=40),1, IF(AND(I182&gt;40,I182&lt;=60),2,IF(AND(I182&gt;60,I182&lt;=80),3, IF(AND(I182&gt;80,I182&lt;=100),4,”5”)))))</f>
        <v>0</v>
      </c>
    </row>
    <row r="183" spans="1:10" x14ac:dyDescent="0.3">
      <c r="A183" t="str">
        <f t="shared" si="3"/>
        <v>59034_185</v>
      </c>
      <c r="B183">
        <f>VLOOKUP(C183,[1]lookuptable!$A$1:$C$7,2,0)</f>
        <v>59034</v>
      </c>
      <c r="C183" t="s">
        <v>8</v>
      </c>
      <c r="D183" s="1">
        <v>185</v>
      </c>
      <c r="E183">
        <v>1</v>
      </c>
      <c r="F183">
        <v>63</v>
      </c>
      <c r="G183">
        <v>64</v>
      </c>
      <c r="H183">
        <v>323</v>
      </c>
      <c r="I183" s="2">
        <v>19.814241490000001</v>
      </c>
      <c r="J183" cm="1">
        <f t="array" ref="J183">IF(AND(I183&gt;=0,I183&lt;=20),0,IF(AND(I183&gt;20,I183&lt;=40),1, IF(AND(I183&gt;40,I183&lt;=60),2,IF(AND(I183&gt;60,I183&lt;=80),3, IF(AND(I183&gt;80,I183&lt;=100),4,”5”)))))</f>
        <v>0</v>
      </c>
    </row>
    <row r="184" spans="1:10" x14ac:dyDescent="0.3">
      <c r="A184" t="str">
        <f t="shared" si="3"/>
        <v>59034_186</v>
      </c>
      <c r="B184">
        <f>VLOOKUP(C184,[1]lookuptable!$A$1:$C$7,2,0)</f>
        <v>59034</v>
      </c>
      <c r="C184" t="s">
        <v>8</v>
      </c>
      <c r="D184" s="1">
        <v>186</v>
      </c>
      <c r="E184">
        <v>0</v>
      </c>
      <c r="F184">
        <v>59</v>
      </c>
      <c r="G184">
        <v>59</v>
      </c>
      <c r="H184">
        <v>356</v>
      </c>
      <c r="I184" s="2">
        <v>16.573033710000001</v>
      </c>
      <c r="J184" cm="1">
        <f t="array" ref="J184">IF(AND(I184&gt;=0,I184&lt;=20),0,IF(AND(I184&gt;20,I184&lt;=40),1, IF(AND(I184&gt;40,I184&lt;=60),2,IF(AND(I184&gt;60,I184&lt;=80),3, IF(AND(I184&gt;80,I184&lt;=100),4,”5”)))))</f>
        <v>0</v>
      </c>
    </row>
    <row r="185" spans="1:10" x14ac:dyDescent="0.3">
      <c r="A185" t="str">
        <f t="shared" si="3"/>
        <v>59034_187</v>
      </c>
      <c r="B185">
        <f>VLOOKUP(C185,[1]lookuptable!$A$1:$C$7,2,0)</f>
        <v>59034</v>
      </c>
      <c r="C185" t="s">
        <v>8</v>
      </c>
      <c r="D185" s="1">
        <v>187</v>
      </c>
      <c r="E185">
        <v>0</v>
      </c>
      <c r="F185">
        <v>75</v>
      </c>
      <c r="G185">
        <v>75</v>
      </c>
      <c r="H185">
        <v>481</v>
      </c>
      <c r="I185" s="2">
        <v>15.59251559</v>
      </c>
      <c r="J185" cm="1">
        <f t="array" ref="J185">IF(AND(I185&gt;=0,I185&lt;=20),0,IF(AND(I185&gt;20,I185&lt;=40),1, IF(AND(I185&gt;40,I185&lt;=60),2,IF(AND(I185&gt;60,I185&lt;=80),3, IF(AND(I185&gt;80,I185&lt;=100),4,”5”)))))</f>
        <v>0</v>
      </c>
    </row>
    <row r="186" spans="1:10" x14ac:dyDescent="0.3">
      <c r="A186" t="str">
        <f t="shared" si="3"/>
        <v>59034_188</v>
      </c>
      <c r="B186">
        <f>VLOOKUP(C186,[1]lookuptable!$A$1:$C$7,2,0)</f>
        <v>59034</v>
      </c>
      <c r="C186" t="s">
        <v>8</v>
      </c>
      <c r="D186" s="1">
        <v>188</v>
      </c>
      <c r="E186">
        <v>0</v>
      </c>
      <c r="F186">
        <v>79</v>
      </c>
      <c r="G186">
        <v>79</v>
      </c>
      <c r="H186">
        <v>360</v>
      </c>
      <c r="I186" s="2">
        <v>21.944444440000002</v>
      </c>
      <c r="J186" cm="1">
        <f t="array" ref="J186">IF(AND(I186&gt;=0,I186&lt;=20),0,IF(AND(I186&gt;20,I186&lt;=40),1, IF(AND(I186&gt;40,I186&lt;=60),2,IF(AND(I186&gt;60,I186&lt;=80),3, IF(AND(I186&gt;80,I186&lt;=100),4,”5”)))))</f>
        <v>1</v>
      </c>
    </row>
    <row r="187" spans="1:10" x14ac:dyDescent="0.3">
      <c r="A187" t="str">
        <f t="shared" si="3"/>
        <v>59034_189</v>
      </c>
      <c r="B187">
        <f>VLOOKUP(C187,[1]lookuptable!$A$1:$C$7,2,0)</f>
        <v>59034</v>
      </c>
      <c r="C187" t="s">
        <v>8</v>
      </c>
      <c r="D187" s="1">
        <v>189</v>
      </c>
      <c r="E187">
        <v>0</v>
      </c>
      <c r="F187">
        <v>60</v>
      </c>
      <c r="G187">
        <v>60</v>
      </c>
      <c r="H187">
        <v>396</v>
      </c>
      <c r="I187" s="2">
        <v>15.15151515</v>
      </c>
      <c r="J187" cm="1">
        <f t="array" ref="J187">IF(AND(I187&gt;=0,I187&lt;=20),0,IF(AND(I187&gt;20,I187&lt;=40),1, IF(AND(I187&gt;40,I187&lt;=60),2,IF(AND(I187&gt;60,I187&lt;=80),3, IF(AND(I187&gt;80,I187&lt;=100),4,”5”)))))</f>
        <v>0</v>
      </c>
    </row>
    <row r="188" spans="1:10" x14ac:dyDescent="0.3">
      <c r="A188" t="str">
        <f t="shared" si="3"/>
        <v>59034_190</v>
      </c>
      <c r="B188">
        <f>VLOOKUP(C188,[1]lookuptable!$A$1:$C$7,2,0)</f>
        <v>59034</v>
      </c>
      <c r="C188" t="s">
        <v>8</v>
      </c>
      <c r="D188" s="1">
        <v>190</v>
      </c>
      <c r="E188">
        <v>1</v>
      </c>
      <c r="F188">
        <v>129</v>
      </c>
      <c r="G188">
        <v>130</v>
      </c>
      <c r="H188">
        <v>488</v>
      </c>
      <c r="I188" s="2">
        <v>26.639344260000001</v>
      </c>
      <c r="J188" cm="1">
        <f t="array" ref="J188">IF(AND(I188&gt;=0,I188&lt;=20),0,IF(AND(I188&gt;20,I188&lt;=40),1, IF(AND(I188&gt;40,I188&lt;=60),2,IF(AND(I188&gt;60,I188&lt;=80),3, IF(AND(I188&gt;80,I188&lt;=100),4,”5”)))))</f>
        <v>1</v>
      </c>
    </row>
    <row r="189" spans="1:10" x14ac:dyDescent="0.3">
      <c r="A189" t="str">
        <f t="shared" si="3"/>
        <v>59034_191</v>
      </c>
      <c r="B189">
        <f>VLOOKUP(C189,[1]lookuptable!$A$1:$C$7,2,0)</f>
        <v>59034</v>
      </c>
      <c r="C189" t="s">
        <v>8</v>
      </c>
      <c r="D189" s="1">
        <v>191</v>
      </c>
      <c r="E189">
        <v>0</v>
      </c>
      <c r="F189">
        <v>88</v>
      </c>
      <c r="G189">
        <v>88</v>
      </c>
      <c r="H189">
        <v>506</v>
      </c>
      <c r="I189" s="2">
        <v>17.391304349999999</v>
      </c>
      <c r="J189" cm="1">
        <f t="array" ref="J189">IF(AND(I189&gt;=0,I189&lt;=20),0,IF(AND(I189&gt;20,I189&lt;=40),1, IF(AND(I189&gt;40,I189&lt;=60),2,IF(AND(I189&gt;60,I189&lt;=80),3, IF(AND(I189&gt;80,I189&lt;=100),4,”5”)))))</f>
        <v>0</v>
      </c>
    </row>
    <row r="190" spans="1:10" x14ac:dyDescent="0.3">
      <c r="A190" t="str">
        <f t="shared" si="3"/>
        <v>59034_192</v>
      </c>
      <c r="B190">
        <f>VLOOKUP(C190,[1]lookuptable!$A$1:$C$7,2,0)</f>
        <v>59034</v>
      </c>
      <c r="C190" t="s">
        <v>8</v>
      </c>
      <c r="D190" s="1">
        <v>192</v>
      </c>
      <c r="E190">
        <v>3</v>
      </c>
      <c r="F190">
        <v>150</v>
      </c>
      <c r="G190">
        <v>153</v>
      </c>
      <c r="H190">
        <v>529</v>
      </c>
      <c r="I190" s="2">
        <v>28.922495269999999</v>
      </c>
      <c r="J190" cm="1">
        <f t="array" ref="J190">IF(AND(I190&gt;=0,I190&lt;=20),0,IF(AND(I190&gt;20,I190&lt;=40),1, IF(AND(I190&gt;40,I190&lt;=60),2,IF(AND(I190&gt;60,I190&lt;=80),3, IF(AND(I190&gt;80,I190&lt;=100),4,”5”)))))</f>
        <v>1</v>
      </c>
    </row>
    <row r="191" spans="1:10" x14ac:dyDescent="0.3">
      <c r="A191" t="str">
        <f t="shared" si="3"/>
        <v>59034_193</v>
      </c>
      <c r="B191">
        <f>VLOOKUP(C191,[1]lookuptable!$A$1:$C$7,2,0)</f>
        <v>59034</v>
      </c>
      <c r="C191" t="s">
        <v>8</v>
      </c>
      <c r="D191" s="1">
        <v>193</v>
      </c>
      <c r="E191">
        <v>0</v>
      </c>
      <c r="F191">
        <v>80</v>
      </c>
      <c r="G191">
        <v>80</v>
      </c>
      <c r="H191">
        <v>340</v>
      </c>
      <c r="I191" s="2">
        <v>23.529411759999999</v>
      </c>
      <c r="J191" cm="1">
        <f t="array" ref="J191">IF(AND(I191&gt;=0,I191&lt;=20),0,IF(AND(I191&gt;20,I191&lt;=40),1, IF(AND(I191&gt;40,I191&lt;=60),2,IF(AND(I191&gt;60,I191&lt;=80),3, IF(AND(I191&gt;80,I191&lt;=100),4,”5”)))))</f>
        <v>1</v>
      </c>
    </row>
    <row r="192" spans="1:10" x14ac:dyDescent="0.3">
      <c r="A192" t="str">
        <f t="shared" si="3"/>
        <v>59034_194</v>
      </c>
      <c r="B192">
        <f>VLOOKUP(C192,[1]lookuptable!$A$1:$C$7,2,0)</f>
        <v>59034</v>
      </c>
      <c r="C192" t="s">
        <v>8</v>
      </c>
      <c r="D192" s="1">
        <v>194</v>
      </c>
      <c r="E192">
        <v>0</v>
      </c>
      <c r="F192">
        <v>66</v>
      </c>
      <c r="G192">
        <v>66</v>
      </c>
      <c r="H192">
        <v>319</v>
      </c>
      <c r="I192" s="2">
        <v>20.689655170000002</v>
      </c>
      <c r="J192" cm="1">
        <f t="array" ref="J192">IF(AND(I192&gt;=0,I192&lt;=20),0,IF(AND(I192&gt;20,I192&lt;=40),1, IF(AND(I192&gt;40,I192&lt;=60),2,IF(AND(I192&gt;60,I192&lt;=80),3, IF(AND(I192&gt;80,I192&lt;=100),4,”5”)))))</f>
        <v>1</v>
      </c>
    </row>
    <row r="193" spans="1:10" x14ac:dyDescent="0.3">
      <c r="A193" t="str">
        <f t="shared" si="3"/>
        <v>59034_195</v>
      </c>
      <c r="B193">
        <f>VLOOKUP(C193,[1]lookuptable!$A$1:$C$7,2,0)</f>
        <v>59034</v>
      </c>
      <c r="C193" t="s">
        <v>8</v>
      </c>
      <c r="D193" s="1">
        <v>195</v>
      </c>
      <c r="E193">
        <v>1</v>
      </c>
      <c r="F193">
        <v>105</v>
      </c>
      <c r="G193">
        <v>106</v>
      </c>
      <c r="H193">
        <v>426</v>
      </c>
      <c r="I193" s="2">
        <v>24.88262911</v>
      </c>
      <c r="J193" cm="1">
        <f t="array" ref="J193">IF(AND(I193&gt;=0,I193&lt;=20),0,IF(AND(I193&gt;20,I193&lt;=40),1, IF(AND(I193&gt;40,I193&lt;=60),2,IF(AND(I193&gt;60,I193&lt;=80),3, IF(AND(I193&gt;80,I193&lt;=100),4,”5”)))))</f>
        <v>1</v>
      </c>
    </row>
    <row r="194" spans="1:10" x14ac:dyDescent="0.3">
      <c r="A194" t="str">
        <f t="shared" ref="A194:A257" si="4">CONCATENATE(B194,"_",D194)</f>
        <v>59034_196</v>
      </c>
      <c r="B194">
        <f>VLOOKUP(C194,[1]lookuptable!$A$1:$C$7,2,0)</f>
        <v>59034</v>
      </c>
      <c r="C194" t="s">
        <v>8</v>
      </c>
      <c r="D194" s="1">
        <v>196</v>
      </c>
      <c r="E194">
        <v>0</v>
      </c>
      <c r="F194">
        <v>125</v>
      </c>
      <c r="G194">
        <v>125</v>
      </c>
      <c r="H194">
        <v>468</v>
      </c>
      <c r="I194" s="2">
        <v>26.709401710000002</v>
      </c>
      <c r="J194" cm="1">
        <f t="array" ref="J194">IF(AND(I194&gt;=0,I194&lt;=20),0,IF(AND(I194&gt;20,I194&lt;=40),1, IF(AND(I194&gt;40,I194&lt;=60),2,IF(AND(I194&gt;60,I194&lt;=80),3, IF(AND(I194&gt;80,I194&lt;=100),4,”5”)))))</f>
        <v>1</v>
      </c>
    </row>
    <row r="195" spans="1:10" x14ac:dyDescent="0.3">
      <c r="A195" t="str">
        <f t="shared" si="4"/>
        <v>59034_197</v>
      </c>
      <c r="B195">
        <f>VLOOKUP(C195,[1]lookuptable!$A$1:$C$7,2,0)</f>
        <v>59034</v>
      </c>
      <c r="C195" t="s">
        <v>8</v>
      </c>
      <c r="D195" s="1">
        <v>197</v>
      </c>
      <c r="E195">
        <v>2</v>
      </c>
      <c r="F195">
        <v>239</v>
      </c>
      <c r="G195">
        <v>241</v>
      </c>
      <c r="H195">
        <v>389</v>
      </c>
      <c r="I195" s="2">
        <v>61.95372751</v>
      </c>
      <c r="J195" cm="1">
        <f t="array" ref="J195">IF(AND(I195&gt;=0,I195&lt;=20),0,IF(AND(I195&gt;20,I195&lt;=40),1, IF(AND(I195&gt;40,I195&lt;=60),2,IF(AND(I195&gt;60,I195&lt;=80),3, IF(AND(I195&gt;80,I195&lt;=100),4,”5”)))))</f>
        <v>3</v>
      </c>
    </row>
    <row r="196" spans="1:10" x14ac:dyDescent="0.3">
      <c r="A196" t="str">
        <f t="shared" si="4"/>
        <v>59034_198</v>
      </c>
      <c r="B196">
        <f>VLOOKUP(C196,[1]lookuptable!$A$1:$C$7,2,0)</f>
        <v>59034</v>
      </c>
      <c r="C196" t="s">
        <v>8</v>
      </c>
      <c r="D196" s="1">
        <v>198</v>
      </c>
      <c r="E196">
        <v>0</v>
      </c>
      <c r="F196">
        <v>78</v>
      </c>
      <c r="G196">
        <v>78</v>
      </c>
      <c r="H196">
        <v>346</v>
      </c>
      <c r="I196" s="2">
        <v>22.543352599999999</v>
      </c>
      <c r="J196" cm="1">
        <f t="array" ref="J196">IF(AND(I196&gt;=0,I196&lt;=20),0,IF(AND(I196&gt;20,I196&lt;=40),1, IF(AND(I196&gt;40,I196&lt;=60),2,IF(AND(I196&gt;60,I196&lt;=80),3, IF(AND(I196&gt;80,I196&lt;=100),4,”5”)))))</f>
        <v>1</v>
      </c>
    </row>
    <row r="197" spans="1:10" x14ac:dyDescent="0.3">
      <c r="A197" t="str">
        <f t="shared" si="4"/>
        <v>59034_199</v>
      </c>
      <c r="B197">
        <f>VLOOKUP(C197,[1]lookuptable!$A$1:$C$7,2,0)</f>
        <v>59034</v>
      </c>
      <c r="C197" t="s">
        <v>8</v>
      </c>
      <c r="D197" s="1">
        <v>199</v>
      </c>
      <c r="E197">
        <v>0</v>
      </c>
      <c r="F197">
        <v>133</v>
      </c>
      <c r="G197">
        <v>133</v>
      </c>
      <c r="H197">
        <v>498</v>
      </c>
      <c r="I197" s="2">
        <v>26.706827310000001</v>
      </c>
      <c r="J197" cm="1">
        <f t="array" ref="J197">IF(AND(I197&gt;=0,I197&lt;=20),0,IF(AND(I197&gt;20,I197&lt;=40),1, IF(AND(I197&gt;40,I197&lt;=60),2,IF(AND(I197&gt;60,I197&lt;=80),3, IF(AND(I197&gt;80,I197&lt;=100),4,”5”)))))</f>
        <v>1</v>
      </c>
    </row>
    <row r="198" spans="1:10" x14ac:dyDescent="0.3">
      <c r="A198" t="str">
        <f t="shared" si="4"/>
        <v>59034_200</v>
      </c>
      <c r="B198">
        <f>VLOOKUP(C198,[1]lookuptable!$A$1:$C$7,2,0)</f>
        <v>59034</v>
      </c>
      <c r="C198" t="s">
        <v>8</v>
      </c>
      <c r="D198" s="1">
        <v>200</v>
      </c>
      <c r="E198">
        <v>0</v>
      </c>
      <c r="F198">
        <v>142</v>
      </c>
      <c r="G198">
        <v>142</v>
      </c>
      <c r="H198">
        <v>437</v>
      </c>
      <c r="I198" s="2">
        <v>32.494279179999999</v>
      </c>
      <c r="J198" cm="1">
        <f t="array" ref="J198">IF(AND(I198&gt;=0,I198&lt;=20),0,IF(AND(I198&gt;20,I198&lt;=40),1, IF(AND(I198&gt;40,I198&lt;=60),2,IF(AND(I198&gt;60,I198&lt;=80),3, IF(AND(I198&gt;80,I198&lt;=100),4,”5”)))))</f>
        <v>1</v>
      </c>
    </row>
    <row r="199" spans="1:10" x14ac:dyDescent="0.3">
      <c r="A199" t="str">
        <f t="shared" si="4"/>
        <v>59034_201</v>
      </c>
      <c r="B199">
        <f>VLOOKUP(C199,[1]lookuptable!$A$1:$C$7,2,0)</f>
        <v>59034</v>
      </c>
      <c r="C199" t="s">
        <v>8</v>
      </c>
      <c r="D199" s="1">
        <v>201</v>
      </c>
      <c r="E199">
        <v>0</v>
      </c>
      <c r="F199">
        <v>74</v>
      </c>
      <c r="G199">
        <v>74</v>
      </c>
      <c r="H199">
        <v>329</v>
      </c>
      <c r="I199" s="2">
        <v>22.492401220000001</v>
      </c>
      <c r="J199" cm="1">
        <f t="array" ref="J199">IF(AND(I199&gt;=0,I199&lt;=20),0,IF(AND(I199&gt;20,I199&lt;=40),1, IF(AND(I199&gt;40,I199&lt;=60),2,IF(AND(I199&gt;60,I199&lt;=80),3, IF(AND(I199&gt;80,I199&lt;=100),4,”5”)))))</f>
        <v>1</v>
      </c>
    </row>
    <row r="200" spans="1:10" x14ac:dyDescent="0.3">
      <c r="A200" t="str">
        <f t="shared" si="4"/>
        <v>59034_202</v>
      </c>
      <c r="B200">
        <f>VLOOKUP(C200,[1]lookuptable!$A$1:$C$7,2,0)</f>
        <v>59034</v>
      </c>
      <c r="C200" t="s">
        <v>8</v>
      </c>
      <c r="D200" s="1">
        <v>202</v>
      </c>
      <c r="E200">
        <v>1</v>
      </c>
      <c r="F200">
        <v>197</v>
      </c>
      <c r="G200">
        <v>198</v>
      </c>
      <c r="H200">
        <v>646</v>
      </c>
      <c r="I200" s="2">
        <v>30.650154799999999</v>
      </c>
      <c r="J200" cm="1">
        <f t="array" ref="J200">IF(AND(I200&gt;=0,I200&lt;=20),0,IF(AND(I200&gt;20,I200&lt;=40),1, IF(AND(I200&gt;40,I200&lt;=60),2,IF(AND(I200&gt;60,I200&lt;=80),3, IF(AND(I200&gt;80,I200&lt;=100),4,”5”)))))</f>
        <v>1</v>
      </c>
    </row>
    <row r="201" spans="1:10" x14ac:dyDescent="0.3">
      <c r="A201" t="str">
        <f t="shared" si="4"/>
        <v>59034_203</v>
      </c>
      <c r="B201">
        <f>VLOOKUP(C201,[1]lookuptable!$A$1:$C$7,2,0)</f>
        <v>59034</v>
      </c>
      <c r="C201" t="s">
        <v>8</v>
      </c>
      <c r="D201" s="1">
        <v>203</v>
      </c>
      <c r="E201">
        <v>2</v>
      </c>
      <c r="F201">
        <v>89</v>
      </c>
      <c r="G201">
        <v>91</v>
      </c>
      <c r="H201">
        <v>373</v>
      </c>
      <c r="I201" s="2">
        <v>24.39678284</v>
      </c>
      <c r="J201" cm="1">
        <f t="array" ref="J201">IF(AND(I201&gt;=0,I201&lt;=20),0,IF(AND(I201&gt;20,I201&lt;=40),1, IF(AND(I201&gt;40,I201&lt;=60),2,IF(AND(I201&gt;60,I201&lt;=80),3, IF(AND(I201&gt;80,I201&lt;=100),4,”5”)))))</f>
        <v>1</v>
      </c>
    </row>
    <row r="202" spans="1:10" x14ac:dyDescent="0.3">
      <c r="A202" t="str">
        <f t="shared" si="4"/>
        <v>59034_204</v>
      </c>
      <c r="B202">
        <f>VLOOKUP(C202,[1]lookuptable!$A$1:$C$7,2,0)</f>
        <v>59034</v>
      </c>
      <c r="C202" t="s">
        <v>8</v>
      </c>
      <c r="D202" s="1">
        <v>204</v>
      </c>
      <c r="E202">
        <v>0</v>
      </c>
      <c r="F202">
        <v>246</v>
      </c>
      <c r="G202">
        <v>246</v>
      </c>
      <c r="H202">
        <v>766</v>
      </c>
      <c r="I202" s="2">
        <v>32.114882510000001</v>
      </c>
      <c r="J202" cm="1">
        <f t="array" ref="J202">IF(AND(I202&gt;=0,I202&lt;=20),0,IF(AND(I202&gt;20,I202&lt;=40),1, IF(AND(I202&gt;40,I202&lt;=60),2,IF(AND(I202&gt;60,I202&lt;=80),3, IF(AND(I202&gt;80,I202&lt;=100),4,”5”)))))</f>
        <v>1</v>
      </c>
    </row>
    <row r="203" spans="1:10" x14ac:dyDescent="0.3">
      <c r="A203" t="str">
        <f t="shared" si="4"/>
        <v>59034_205</v>
      </c>
      <c r="B203">
        <f>VLOOKUP(C203,[1]lookuptable!$A$1:$C$7,2,0)</f>
        <v>59034</v>
      </c>
      <c r="C203" t="s">
        <v>8</v>
      </c>
      <c r="D203" s="1">
        <v>205</v>
      </c>
      <c r="E203">
        <v>1</v>
      </c>
      <c r="F203">
        <v>186</v>
      </c>
      <c r="G203">
        <v>187</v>
      </c>
      <c r="H203">
        <v>417</v>
      </c>
      <c r="I203" s="2">
        <v>44.844124700000002</v>
      </c>
      <c r="J203" cm="1">
        <f t="array" ref="J203">IF(AND(I203&gt;=0,I203&lt;=20),0,IF(AND(I203&gt;20,I203&lt;=40),1, IF(AND(I203&gt;40,I203&lt;=60),2,IF(AND(I203&gt;60,I203&lt;=80),3, IF(AND(I203&gt;80,I203&lt;=100),4,”5”)))))</f>
        <v>2</v>
      </c>
    </row>
    <row r="204" spans="1:10" x14ac:dyDescent="0.3">
      <c r="A204" t="str">
        <f t="shared" si="4"/>
        <v>59034_206</v>
      </c>
      <c r="B204">
        <f>VLOOKUP(C204,[1]lookuptable!$A$1:$C$7,2,0)</f>
        <v>59034</v>
      </c>
      <c r="C204" t="s">
        <v>8</v>
      </c>
      <c r="D204" s="1">
        <v>206</v>
      </c>
      <c r="E204">
        <v>0</v>
      </c>
      <c r="F204">
        <v>99</v>
      </c>
      <c r="G204">
        <v>99</v>
      </c>
      <c r="H204">
        <v>407</v>
      </c>
      <c r="I204" s="2">
        <v>24.324324319999999</v>
      </c>
      <c r="J204" cm="1">
        <f t="array" ref="J204">IF(AND(I204&gt;=0,I204&lt;=20),0,IF(AND(I204&gt;20,I204&lt;=40),1, IF(AND(I204&gt;40,I204&lt;=60),2,IF(AND(I204&gt;60,I204&lt;=80),3, IF(AND(I204&gt;80,I204&lt;=100),4,”5”)))))</f>
        <v>1</v>
      </c>
    </row>
    <row r="205" spans="1:10" x14ac:dyDescent="0.3">
      <c r="A205" t="str">
        <f t="shared" si="4"/>
        <v>59034_207</v>
      </c>
      <c r="B205">
        <f>VLOOKUP(C205,[1]lookuptable!$A$1:$C$7,2,0)</f>
        <v>59034</v>
      </c>
      <c r="C205" t="s">
        <v>8</v>
      </c>
      <c r="D205" s="1">
        <v>207</v>
      </c>
      <c r="E205">
        <v>0</v>
      </c>
      <c r="F205">
        <v>145</v>
      </c>
      <c r="G205">
        <v>145</v>
      </c>
      <c r="H205">
        <v>456</v>
      </c>
      <c r="I205" s="2">
        <v>31.798245609999999</v>
      </c>
      <c r="J205" cm="1">
        <f t="array" ref="J205">IF(AND(I205&gt;=0,I205&lt;=20),0,IF(AND(I205&gt;20,I205&lt;=40),1, IF(AND(I205&gt;40,I205&lt;=60),2,IF(AND(I205&gt;60,I205&lt;=80),3, IF(AND(I205&gt;80,I205&lt;=100),4,”5”)))))</f>
        <v>1</v>
      </c>
    </row>
    <row r="206" spans="1:10" x14ac:dyDescent="0.3">
      <c r="A206" t="str">
        <f t="shared" si="4"/>
        <v>59034_208</v>
      </c>
      <c r="B206">
        <f>VLOOKUP(C206,[1]lookuptable!$A$1:$C$7,2,0)</f>
        <v>59034</v>
      </c>
      <c r="C206" t="s">
        <v>8</v>
      </c>
      <c r="D206" s="1">
        <v>208</v>
      </c>
      <c r="E206">
        <v>0</v>
      </c>
      <c r="F206">
        <v>138</v>
      </c>
      <c r="G206">
        <v>138</v>
      </c>
      <c r="H206">
        <v>292</v>
      </c>
      <c r="I206" s="2">
        <v>47.26027397</v>
      </c>
      <c r="J206" cm="1">
        <f t="array" ref="J206">IF(AND(I206&gt;=0,I206&lt;=20),0,IF(AND(I206&gt;20,I206&lt;=40),1, IF(AND(I206&gt;40,I206&lt;=60),2,IF(AND(I206&gt;60,I206&lt;=80),3, IF(AND(I206&gt;80,I206&lt;=100),4,”5”)))))</f>
        <v>2</v>
      </c>
    </row>
    <row r="207" spans="1:10" x14ac:dyDescent="0.3">
      <c r="A207" t="str">
        <f t="shared" si="4"/>
        <v>59034_209</v>
      </c>
      <c r="B207">
        <f>VLOOKUP(C207,[1]lookuptable!$A$1:$C$7,2,0)</f>
        <v>59034</v>
      </c>
      <c r="C207" t="s">
        <v>8</v>
      </c>
      <c r="D207" s="1">
        <v>209</v>
      </c>
      <c r="E207">
        <v>0</v>
      </c>
      <c r="F207">
        <v>265</v>
      </c>
      <c r="G207">
        <v>265</v>
      </c>
      <c r="H207">
        <v>692</v>
      </c>
      <c r="I207" s="2">
        <v>38.294797690000003</v>
      </c>
      <c r="J207" cm="1">
        <f t="array" ref="J207">IF(AND(I207&gt;=0,I207&lt;=20),0,IF(AND(I207&gt;20,I207&lt;=40),1, IF(AND(I207&gt;40,I207&lt;=60),2,IF(AND(I207&gt;60,I207&lt;=80),3, IF(AND(I207&gt;80,I207&lt;=100),4,”5”)))))</f>
        <v>1</v>
      </c>
    </row>
    <row r="208" spans="1:10" x14ac:dyDescent="0.3">
      <c r="A208" t="str">
        <f t="shared" si="4"/>
        <v>59034_210</v>
      </c>
      <c r="B208">
        <f>VLOOKUP(C208,[1]lookuptable!$A$1:$C$7,2,0)</f>
        <v>59034</v>
      </c>
      <c r="C208" t="s">
        <v>8</v>
      </c>
      <c r="D208" s="1">
        <v>210</v>
      </c>
      <c r="E208">
        <v>2</v>
      </c>
      <c r="F208">
        <v>166</v>
      </c>
      <c r="G208">
        <v>168</v>
      </c>
      <c r="H208">
        <v>532</v>
      </c>
      <c r="I208" s="2">
        <v>31.578947370000002</v>
      </c>
      <c r="J208" cm="1">
        <f t="array" ref="J208">IF(AND(I208&gt;=0,I208&lt;=20),0,IF(AND(I208&gt;20,I208&lt;=40),1, IF(AND(I208&gt;40,I208&lt;=60),2,IF(AND(I208&gt;60,I208&lt;=80),3, IF(AND(I208&gt;80,I208&lt;=100),4,”5”)))))</f>
        <v>1</v>
      </c>
    </row>
    <row r="209" spans="1:10" x14ac:dyDescent="0.3">
      <c r="A209" t="str">
        <f t="shared" si="4"/>
        <v>59034_211</v>
      </c>
      <c r="B209">
        <f>VLOOKUP(C209,[1]lookuptable!$A$1:$C$7,2,0)</f>
        <v>59034</v>
      </c>
      <c r="C209" t="s">
        <v>8</v>
      </c>
      <c r="D209" s="1">
        <v>211</v>
      </c>
      <c r="E209">
        <v>0</v>
      </c>
      <c r="F209">
        <v>175</v>
      </c>
      <c r="G209">
        <v>175</v>
      </c>
      <c r="H209">
        <v>456</v>
      </c>
      <c r="I209" s="2">
        <v>38.377192979999997</v>
      </c>
      <c r="J209" cm="1">
        <f t="array" ref="J209">IF(AND(I209&gt;=0,I209&lt;=20),0,IF(AND(I209&gt;20,I209&lt;=40),1, IF(AND(I209&gt;40,I209&lt;=60),2,IF(AND(I209&gt;60,I209&lt;=80),3, IF(AND(I209&gt;80,I209&lt;=100),4,”5”)))))</f>
        <v>1</v>
      </c>
    </row>
    <row r="210" spans="1:10" x14ac:dyDescent="0.3">
      <c r="A210" t="str">
        <f t="shared" si="4"/>
        <v>59034_212</v>
      </c>
      <c r="B210">
        <f>VLOOKUP(C210,[1]lookuptable!$A$1:$C$7,2,0)</f>
        <v>59034</v>
      </c>
      <c r="C210" t="s">
        <v>8</v>
      </c>
      <c r="D210" s="1">
        <v>212</v>
      </c>
      <c r="E210">
        <v>0</v>
      </c>
      <c r="F210">
        <v>97</v>
      </c>
      <c r="G210">
        <v>97</v>
      </c>
      <c r="H210">
        <v>270</v>
      </c>
      <c r="I210" s="2">
        <v>35.925925929999998</v>
      </c>
      <c r="J210" cm="1">
        <f t="array" ref="J210">IF(AND(I210&gt;=0,I210&lt;=20),0,IF(AND(I210&gt;20,I210&lt;=40),1, IF(AND(I210&gt;40,I210&lt;=60),2,IF(AND(I210&gt;60,I210&lt;=80),3, IF(AND(I210&gt;80,I210&lt;=100),4,”5”)))))</f>
        <v>1</v>
      </c>
    </row>
    <row r="211" spans="1:10" x14ac:dyDescent="0.3">
      <c r="A211" t="str">
        <f t="shared" si="4"/>
        <v>59034_213</v>
      </c>
      <c r="B211">
        <f>VLOOKUP(C211,[1]lookuptable!$A$1:$C$7,2,0)</f>
        <v>59034</v>
      </c>
      <c r="C211" t="s">
        <v>8</v>
      </c>
      <c r="D211" s="1">
        <v>213</v>
      </c>
      <c r="E211">
        <v>0</v>
      </c>
      <c r="F211">
        <v>207</v>
      </c>
      <c r="G211">
        <v>207</v>
      </c>
      <c r="H211">
        <v>683</v>
      </c>
      <c r="I211" s="2">
        <v>30.30746706</v>
      </c>
      <c r="J211" cm="1">
        <f t="array" ref="J211">IF(AND(I211&gt;=0,I211&lt;=20),0,IF(AND(I211&gt;20,I211&lt;=40),1, IF(AND(I211&gt;40,I211&lt;=60),2,IF(AND(I211&gt;60,I211&lt;=80),3, IF(AND(I211&gt;80,I211&lt;=100),4,”5”)))))</f>
        <v>1</v>
      </c>
    </row>
    <row r="212" spans="1:10" x14ac:dyDescent="0.3">
      <c r="A212" t="str">
        <f t="shared" si="4"/>
        <v>59034_214</v>
      </c>
      <c r="B212">
        <f>VLOOKUP(C212,[1]lookuptable!$A$1:$C$7,2,0)</f>
        <v>59034</v>
      </c>
      <c r="C212" t="s">
        <v>8</v>
      </c>
      <c r="D212" s="1">
        <v>214</v>
      </c>
      <c r="E212">
        <v>0</v>
      </c>
      <c r="F212">
        <v>234</v>
      </c>
      <c r="G212">
        <v>234</v>
      </c>
      <c r="H212">
        <v>413</v>
      </c>
      <c r="I212" s="2">
        <v>56.658595640000001</v>
      </c>
      <c r="J212" cm="1">
        <f t="array" ref="J212">IF(AND(I212&gt;=0,I212&lt;=20),0,IF(AND(I212&gt;20,I212&lt;=40),1, IF(AND(I212&gt;40,I212&lt;=60),2,IF(AND(I212&gt;60,I212&lt;=80),3, IF(AND(I212&gt;80,I212&lt;=100),4,”5”)))))</f>
        <v>2</v>
      </c>
    </row>
    <row r="213" spans="1:10" x14ac:dyDescent="0.3">
      <c r="A213" t="str">
        <f t="shared" si="4"/>
        <v>59034_215</v>
      </c>
      <c r="B213">
        <f>VLOOKUP(C213,[1]lookuptable!$A$1:$C$7,2,0)</f>
        <v>59034</v>
      </c>
      <c r="C213" t="s">
        <v>8</v>
      </c>
      <c r="D213" s="1">
        <v>215</v>
      </c>
      <c r="E213">
        <v>214</v>
      </c>
      <c r="F213">
        <v>0</v>
      </c>
      <c r="G213">
        <v>0</v>
      </c>
      <c r="H213">
        <v>291</v>
      </c>
      <c r="I213" s="2">
        <f t="shared" ref="I213:I214" si="5">((E213+G213)/H213)*100</f>
        <v>73.539518900343651</v>
      </c>
      <c r="J213" cm="1">
        <f t="array" ref="J213">IF(AND(I213&gt;=0,I213&lt;=20),0,IF(AND(I213&gt;20,I213&lt;=40),1, IF(AND(I213&gt;40,I213&lt;=60),2,IF(AND(I213&gt;60,I213&lt;=80),3, IF(AND(I213&gt;80,I213&lt;=100),4,”5”)))))</f>
        <v>3</v>
      </c>
    </row>
    <row r="214" spans="1:10" x14ac:dyDescent="0.3">
      <c r="A214" t="str">
        <f t="shared" si="4"/>
        <v>59034_400</v>
      </c>
      <c r="B214">
        <f>VLOOKUP(C214,[1]lookuptable!$A$1:$C$7,2,0)</f>
        <v>59034</v>
      </c>
      <c r="C214" t="s">
        <v>8</v>
      </c>
      <c r="D214" s="1">
        <v>400</v>
      </c>
      <c r="E214">
        <v>114</v>
      </c>
      <c r="F214">
        <v>0</v>
      </c>
      <c r="G214">
        <v>0</v>
      </c>
      <c r="H214">
        <v>115</v>
      </c>
      <c r="I214" s="2">
        <f t="shared" si="5"/>
        <v>99.130434782608702</v>
      </c>
      <c r="J214" cm="1">
        <f t="array" ref="J214">IF(AND(I214&gt;=0,I214&lt;=20),0,IF(AND(I214&gt;20,I214&lt;=40),1, IF(AND(I214&gt;40,I214&lt;=60),2,IF(AND(I214&gt;60,I214&lt;=80),3, IF(AND(I214&gt;80,I214&lt;=100),4,”5”)))))</f>
        <v>4</v>
      </c>
    </row>
    <row r="215" spans="1:10" x14ac:dyDescent="0.3">
      <c r="A215" t="str">
        <f t="shared" si="4"/>
        <v>59034_403</v>
      </c>
      <c r="B215">
        <f>VLOOKUP(C215,[1]lookuptable!$A$1:$C$7,2,0)</f>
        <v>59034</v>
      </c>
      <c r="C215" t="s">
        <v>8</v>
      </c>
      <c r="D215" s="1">
        <v>403</v>
      </c>
      <c r="E215">
        <v>114</v>
      </c>
      <c r="F215">
        <v>0</v>
      </c>
      <c r="G215">
        <v>0</v>
      </c>
      <c r="H215">
        <v>245</v>
      </c>
      <c r="I215" s="2">
        <f>((E215+G215)/H215)*100</f>
        <v>46.530612244897959</v>
      </c>
      <c r="J215" cm="1">
        <f t="array" ref="J215">IF(AND(I215&gt;=0,I215&lt;=20),0,IF(AND(I215&gt;20,I215&lt;=40),1, IF(AND(I215&gt;40,I215&lt;=60),2,IF(AND(I215&gt;60,I215&lt;=80),3, IF(AND(I215&gt;80,I215&lt;=100),4,”5”)))))</f>
        <v>2</v>
      </c>
    </row>
    <row r="216" spans="1:10" x14ac:dyDescent="0.3">
      <c r="A216" t="str">
        <f t="shared" si="4"/>
        <v>59034_500</v>
      </c>
      <c r="B216">
        <f>VLOOKUP(C216,[1]lookuptable!$A$1:$C$7,2,0)</f>
        <v>59034</v>
      </c>
      <c r="C216" t="s">
        <v>8</v>
      </c>
      <c r="D216" s="1">
        <v>500</v>
      </c>
      <c r="E216">
        <v>1</v>
      </c>
      <c r="F216">
        <v>45</v>
      </c>
      <c r="G216">
        <v>46</v>
      </c>
      <c r="H216">
        <v>91</v>
      </c>
      <c r="I216" s="2">
        <v>50.549450550000003</v>
      </c>
      <c r="J216" cm="1">
        <f t="array" ref="J216">IF(AND(I216&gt;=0,I216&lt;=20),0,IF(AND(I216&gt;20,I216&lt;=40),1, IF(AND(I216&gt;40,I216&lt;=60),2,IF(AND(I216&gt;60,I216&lt;=80),3, IF(AND(I216&gt;80,I216&lt;=100),4,”5”)))))</f>
        <v>2</v>
      </c>
    </row>
    <row r="217" spans="1:10" x14ac:dyDescent="0.3">
      <c r="A217" t="str">
        <f t="shared" si="4"/>
        <v>59034_506</v>
      </c>
      <c r="B217">
        <f>VLOOKUP(C217,[1]lookuptable!$A$1:$C$7,2,0)</f>
        <v>59034</v>
      </c>
      <c r="C217" t="s">
        <v>8</v>
      </c>
      <c r="D217" s="1">
        <v>506</v>
      </c>
      <c r="E217">
        <v>6</v>
      </c>
      <c r="F217">
        <v>51</v>
      </c>
      <c r="G217">
        <v>57</v>
      </c>
      <c r="H217">
        <v>72</v>
      </c>
      <c r="I217" s="2">
        <v>79.166666669999998</v>
      </c>
      <c r="J217" cm="1">
        <f t="array" ref="J217">IF(AND(I217&gt;=0,I217&lt;=20),0,IF(AND(I217&gt;20,I217&lt;=40),1, IF(AND(I217&gt;40,I217&lt;=60),2,IF(AND(I217&gt;60,I217&lt;=80),3, IF(AND(I217&gt;80,I217&lt;=100),4,”5”)))))</f>
        <v>3</v>
      </c>
    </row>
    <row r="218" spans="1:10" x14ac:dyDescent="0.3">
      <c r="A218" t="str">
        <f t="shared" si="4"/>
        <v>59035_1</v>
      </c>
      <c r="B218">
        <f>VLOOKUP(C218,[1]lookuptable!$A$1:$C$7,2,0)</f>
        <v>59035</v>
      </c>
      <c r="C218" t="s">
        <v>9</v>
      </c>
      <c r="D218" s="1">
        <v>1</v>
      </c>
      <c r="E218">
        <v>1</v>
      </c>
      <c r="F218">
        <v>160</v>
      </c>
      <c r="G218">
        <v>161</v>
      </c>
      <c r="H218">
        <v>406</v>
      </c>
      <c r="I218" s="2">
        <v>39.655172409999999</v>
      </c>
      <c r="J218" cm="1">
        <f t="array" ref="J218">IF(AND(I218&gt;=0,I218&lt;=20),0,IF(AND(I218&gt;20,I218&lt;=40),1, IF(AND(I218&gt;40,I218&lt;=60),2,IF(AND(I218&gt;60,I218&lt;=80),3, IF(AND(I218&gt;80,I218&lt;=100),4,”5”)))))</f>
        <v>1</v>
      </c>
    </row>
    <row r="219" spans="1:10" x14ac:dyDescent="0.3">
      <c r="A219" t="str">
        <f t="shared" si="4"/>
        <v>59035_2</v>
      </c>
      <c r="B219">
        <f>VLOOKUP(C219,[1]lookuptable!$A$1:$C$7,2,0)</f>
        <v>59035</v>
      </c>
      <c r="C219" t="s">
        <v>9</v>
      </c>
      <c r="D219" s="1">
        <v>2</v>
      </c>
      <c r="E219">
        <v>0</v>
      </c>
      <c r="F219">
        <v>76</v>
      </c>
      <c r="G219">
        <v>76</v>
      </c>
      <c r="H219">
        <v>411</v>
      </c>
      <c r="I219" s="2">
        <v>18.49148418</v>
      </c>
      <c r="J219" cm="1">
        <f t="array" ref="J219">IF(AND(I219&gt;=0,I219&lt;=20),0,IF(AND(I219&gt;20,I219&lt;=40),1, IF(AND(I219&gt;40,I219&lt;=60),2,IF(AND(I219&gt;60,I219&lt;=80),3, IF(AND(I219&gt;80,I219&lt;=100),4,”5”)))))</f>
        <v>0</v>
      </c>
    </row>
    <row r="220" spans="1:10" x14ac:dyDescent="0.3">
      <c r="A220" t="str">
        <f t="shared" si="4"/>
        <v>59035_3</v>
      </c>
      <c r="B220">
        <f>VLOOKUP(C220,[1]lookuptable!$A$1:$C$7,2,0)</f>
        <v>59035</v>
      </c>
      <c r="C220" t="s">
        <v>9</v>
      </c>
      <c r="D220" s="1">
        <v>3</v>
      </c>
      <c r="E220">
        <v>1</v>
      </c>
      <c r="F220">
        <v>78</v>
      </c>
      <c r="G220">
        <v>79</v>
      </c>
      <c r="H220">
        <v>389</v>
      </c>
      <c r="I220" s="2">
        <v>20.308483290000002</v>
      </c>
      <c r="J220" cm="1">
        <f t="array" ref="J220">IF(AND(I220&gt;=0,I220&lt;=20),0,IF(AND(I220&gt;20,I220&lt;=40),1, IF(AND(I220&gt;40,I220&lt;=60),2,IF(AND(I220&gt;60,I220&lt;=80),3, IF(AND(I220&gt;80,I220&lt;=100),4,”5”)))))</f>
        <v>1</v>
      </c>
    </row>
    <row r="221" spans="1:10" x14ac:dyDescent="0.3">
      <c r="A221" t="str">
        <f t="shared" si="4"/>
        <v>59035_4</v>
      </c>
      <c r="B221">
        <f>VLOOKUP(C221,[1]lookuptable!$A$1:$C$7,2,0)</f>
        <v>59035</v>
      </c>
      <c r="C221" t="s">
        <v>9</v>
      </c>
      <c r="D221" s="1">
        <v>4</v>
      </c>
      <c r="E221">
        <v>2</v>
      </c>
      <c r="F221">
        <v>123</v>
      </c>
      <c r="G221">
        <v>125</v>
      </c>
      <c r="H221">
        <v>422</v>
      </c>
      <c r="I221" s="2">
        <v>29.62085308</v>
      </c>
      <c r="J221" cm="1">
        <f t="array" ref="J221">IF(AND(I221&gt;=0,I221&lt;=20),0,IF(AND(I221&gt;20,I221&lt;=40),1, IF(AND(I221&gt;40,I221&lt;=60),2,IF(AND(I221&gt;60,I221&lt;=80),3, IF(AND(I221&gt;80,I221&lt;=100),4,”5”)))))</f>
        <v>1</v>
      </c>
    </row>
    <row r="222" spans="1:10" x14ac:dyDescent="0.3">
      <c r="A222" t="str">
        <f t="shared" si="4"/>
        <v>59035_5</v>
      </c>
      <c r="B222">
        <f>VLOOKUP(C222,[1]lookuptable!$A$1:$C$7,2,0)</f>
        <v>59035</v>
      </c>
      <c r="C222" t="s">
        <v>9</v>
      </c>
      <c r="D222" s="1">
        <v>5</v>
      </c>
      <c r="E222">
        <v>0</v>
      </c>
      <c r="F222">
        <v>51</v>
      </c>
      <c r="G222">
        <v>51</v>
      </c>
      <c r="H222">
        <v>347</v>
      </c>
      <c r="I222" s="2">
        <v>14.697406340000001</v>
      </c>
      <c r="J222" cm="1">
        <f t="array" ref="J222">IF(AND(I222&gt;=0,I222&lt;=20),0,IF(AND(I222&gt;20,I222&lt;=40),1, IF(AND(I222&gt;40,I222&lt;=60),2,IF(AND(I222&gt;60,I222&lt;=80),3, IF(AND(I222&gt;80,I222&lt;=100),4,”5”)))))</f>
        <v>0</v>
      </c>
    </row>
    <row r="223" spans="1:10" x14ac:dyDescent="0.3">
      <c r="A223" t="str">
        <f t="shared" si="4"/>
        <v>59035_6</v>
      </c>
      <c r="B223">
        <f>VLOOKUP(C223,[1]lookuptable!$A$1:$C$7,2,0)</f>
        <v>59035</v>
      </c>
      <c r="C223" t="s">
        <v>9</v>
      </c>
      <c r="D223" s="1">
        <v>6</v>
      </c>
      <c r="E223">
        <v>0</v>
      </c>
      <c r="F223">
        <v>53</v>
      </c>
      <c r="G223">
        <v>53</v>
      </c>
      <c r="H223">
        <v>405</v>
      </c>
      <c r="I223" s="2">
        <v>13.086419749999999</v>
      </c>
      <c r="J223" cm="1">
        <f t="array" ref="J223">IF(AND(I223&gt;=0,I223&lt;=20),0,IF(AND(I223&gt;20,I223&lt;=40),1, IF(AND(I223&gt;40,I223&lt;=60),2,IF(AND(I223&gt;60,I223&lt;=80),3, IF(AND(I223&gt;80,I223&lt;=100),4,”5”)))))</f>
        <v>0</v>
      </c>
    </row>
    <row r="224" spans="1:10" x14ac:dyDescent="0.3">
      <c r="A224" t="str">
        <f t="shared" si="4"/>
        <v>59035_7</v>
      </c>
      <c r="B224">
        <f>VLOOKUP(C224,[1]lookuptable!$A$1:$C$7,2,0)</f>
        <v>59035</v>
      </c>
      <c r="C224" t="s">
        <v>9</v>
      </c>
      <c r="D224" s="1">
        <v>7</v>
      </c>
      <c r="E224">
        <v>0</v>
      </c>
      <c r="F224">
        <v>66</v>
      </c>
      <c r="G224">
        <v>66</v>
      </c>
      <c r="H224">
        <v>945</v>
      </c>
      <c r="I224" s="2">
        <v>6.9841269840000004</v>
      </c>
      <c r="J224" cm="1">
        <f t="array" ref="J224">IF(AND(I224&gt;=0,I224&lt;=20),0,IF(AND(I224&gt;20,I224&lt;=40),1, IF(AND(I224&gt;40,I224&lt;=60),2,IF(AND(I224&gt;60,I224&lt;=80),3, IF(AND(I224&gt;80,I224&lt;=100),4,”5”)))))</f>
        <v>0</v>
      </c>
    </row>
    <row r="225" spans="1:10" x14ac:dyDescent="0.3">
      <c r="A225" t="str">
        <f t="shared" si="4"/>
        <v>59035_8</v>
      </c>
      <c r="B225">
        <f>VLOOKUP(C225,[1]lookuptable!$A$1:$C$7,2,0)</f>
        <v>59035</v>
      </c>
      <c r="C225" t="s">
        <v>9</v>
      </c>
      <c r="D225" s="1">
        <v>8</v>
      </c>
      <c r="E225">
        <v>1</v>
      </c>
      <c r="F225">
        <v>166</v>
      </c>
      <c r="G225">
        <v>167</v>
      </c>
      <c r="H225">
        <v>692</v>
      </c>
      <c r="I225" s="2">
        <v>24.132947980000001</v>
      </c>
      <c r="J225" cm="1">
        <f t="array" ref="J225">IF(AND(I225&gt;=0,I225&lt;=20),0,IF(AND(I225&gt;20,I225&lt;=40),1, IF(AND(I225&gt;40,I225&lt;=60),2,IF(AND(I225&gt;60,I225&lt;=80),3, IF(AND(I225&gt;80,I225&lt;=100),4,”5”)))))</f>
        <v>1</v>
      </c>
    </row>
    <row r="226" spans="1:10" x14ac:dyDescent="0.3">
      <c r="A226" t="str">
        <f t="shared" si="4"/>
        <v>59035_9</v>
      </c>
      <c r="B226">
        <f>VLOOKUP(C226,[1]lookuptable!$A$1:$C$7,2,0)</f>
        <v>59035</v>
      </c>
      <c r="C226" t="s">
        <v>9</v>
      </c>
      <c r="D226" s="1">
        <v>9</v>
      </c>
      <c r="E226">
        <v>0</v>
      </c>
      <c r="F226">
        <v>75</v>
      </c>
      <c r="G226">
        <v>75</v>
      </c>
      <c r="H226">
        <v>405</v>
      </c>
      <c r="I226" s="2">
        <v>18.518518520000001</v>
      </c>
      <c r="J226" cm="1">
        <f t="array" ref="J226">IF(AND(I226&gt;=0,I226&lt;=20),0,IF(AND(I226&gt;20,I226&lt;=40),1, IF(AND(I226&gt;40,I226&lt;=60),2,IF(AND(I226&gt;60,I226&lt;=80),3, IF(AND(I226&gt;80,I226&lt;=100),4,”5”)))))</f>
        <v>0</v>
      </c>
    </row>
    <row r="227" spans="1:10" x14ac:dyDescent="0.3">
      <c r="A227" t="str">
        <f t="shared" si="4"/>
        <v>59035_10</v>
      </c>
      <c r="B227">
        <f>VLOOKUP(C227,[1]lookuptable!$A$1:$C$7,2,0)</f>
        <v>59035</v>
      </c>
      <c r="C227" t="s">
        <v>9</v>
      </c>
      <c r="D227" s="1">
        <v>10</v>
      </c>
      <c r="E227">
        <v>3</v>
      </c>
      <c r="F227">
        <v>77</v>
      </c>
      <c r="G227">
        <v>80</v>
      </c>
      <c r="H227">
        <v>495</v>
      </c>
      <c r="I227" s="2">
        <v>16.161616160000001</v>
      </c>
      <c r="J227" cm="1">
        <f t="array" ref="J227">IF(AND(I227&gt;=0,I227&lt;=20),0,IF(AND(I227&gt;20,I227&lt;=40),1, IF(AND(I227&gt;40,I227&lt;=60),2,IF(AND(I227&gt;60,I227&lt;=80),3, IF(AND(I227&gt;80,I227&lt;=100),4,”5”)))))</f>
        <v>0</v>
      </c>
    </row>
    <row r="228" spans="1:10" x14ac:dyDescent="0.3">
      <c r="A228" t="str">
        <f t="shared" si="4"/>
        <v>59035_11</v>
      </c>
      <c r="B228">
        <f>VLOOKUP(C228,[1]lookuptable!$A$1:$C$7,2,0)</f>
        <v>59035</v>
      </c>
      <c r="C228" t="s">
        <v>9</v>
      </c>
      <c r="D228" s="1">
        <v>11</v>
      </c>
      <c r="E228">
        <v>2</v>
      </c>
      <c r="F228">
        <v>58</v>
      </c>
      <c r="G228">
        <v>60</v>
      </c>
      <c r="H228">
        <v>392</v>
      </c>
      <c r="I228" s="2">
        <v>15.30612245</v>
      </c>
      <c r="J228" cm="1">
        <f t="array" ref="J228">IF(AND(I228&gt;=0,I228&lt;=20),0,IF(AND(I228&gt;20,I228&lt;=40),1, IF(AND(I228&gt;40,I228&lt;=60),2,IF(AND(I228&gt;60,I228&lt;=80),3, IF(AND(I228&gt;80,I228&lt;=100),4,”5”)))))</f>
        <v>0</v>
      </c>
    </row>
    <row r="229" spans="1:10" x14ac:dyDescent="0.3">
      <c r="A229" t="str">
        <f t="shared" si="4"/>
        <v>59035_12</v>
      </c>
      <c r="B229">
        <f>VLOOKUP(C229,[1]lookuptable!$A$1:$C$7,2,0)</f>
        <v>59035</v>
      </c>
      <c r="C229" t="s">
        <v>9</v>
      </c>
      <c r="D229" s="1">
        <v>12</v>
      </c>
      <c r="E229">
        <v>0</v>
      </c>
      <c r="F229">
        <v>74</v>
      </c>
      <c r="G229">
        <v>74</v>
      </c>
      <c r="H229">
        <v>447</v>
      </c>
      <c r="I229" s="2">
        <v>16.554809840000001</v>
      </c>
      <c r="J229" cm="1">
        <f t="array" ref="J229">IF(AND(I229&gt;=0,I229&lt;=20),0,IF(AND(I229&gt;20,I229&lt;=40),1, IF(AND(I229&gt;40,I229&lt;=60),2,IF(AND(I229&gt;60,I229&lt;=80),3, IF(AND(I229&gt;80,I229&lt;=100),4,”5”)))))</f>
        <v>0</v>
      </c>
    </row>
    <row r="230" spans="1:10" x14ac:dyDescent="0.3">
      <c r="A230" t="str">
        <f t="shared" si="4"/>
        <v>59035_13</v>
      </c>
      <c r="B230">
        <f>VLOOKUP(C230,[1]lookuptable!$A$1:$C$7,2,0)</f>
        <v>59035</v>
      </c>
      <c r="C230" t="s">
        <v>9</v>
      </c>
      <c r="D230" s="1">
        <v>13</v>
      </c>
      <c r="E230">
        <v>4</v>
      </c>
      <c r="F230">
        <v>81</v>
      </c>
      <c r="G230">
        <v>85</v>
      </c>
      <c r="H230">
        <v>443</v>
      </c>
      <c r="I230" s="2">
        <v>19.187358920000001</v>
      </c>
      <c r="J230" cm="1">
        <f t="array" ref="J230">IF(AND(I230&gt;=0,I230&lt;=20),0,IF(AND(I230&gt;20,I230&lt;=40),1, IF(AND(I230&gt;40,I230&lt;=60),2,IF(AND(I230&gt;60,I230&lt;=80),3, IF(AND(I230&gt;80,I230&lt;=100),4,”5”)))))</f>
        <v>0</v>
      </c>
    </row>
    <row r="231" spans="1:10" x14ac:dyDescent="0.3">
      <c r="A231" t="str">
        <f t="shared" si="4"/>
        <v>59035_14</v>
      </c>
      <c r="B231">
        <f>VLOOKUP(C231,[1]lookuptable!$A$1:$C$7,2,0)</f>
        <v>59035</v>
      </c>
      <c r="C231" t="s">
        <v>9</v>
      </c>
      <c r="D231" s="1">
        <v>14</v>
      </c>
      <c r="E231">
        <v>1</v>
      </c>
      <c r="F231">
        <v>225</v>
      </c>
      <c r="G231">
        <v>226</v>
      </c>
      <c r="H231">
        <v>680</v>
      </c>
      <c r="I231" s="2">
        <v>33.235294119999999</v>
      </c>
      <c r="J231" cm="1">
        <f t="array" ref="J231">IF(AND(I231&gt;=0,I231&lt;=20),0,IF(AND(I231&gt;20,I231&lt;=40),1, IF(AND(I231&gt;40,I231&lt;=60),2,IF(AND(I231&gt;60,I231&lt;=80),3, IF(AND(I231&gt;80,I231&lt;=100),4,”5”)))))</f>
        <v>1</v>
      </c>
    </row>
    <row r="232" spans="1:10" x14ac:dyDescent="0.3">
      <c r="A232" t="str">
        <f t="shared" si="4"/>
        <v>59035_15</v>
      </c>
      <c r="B232">
        <f>VLOOKUP(C232,[1]lookuptable!$A$1:$C$7,2,0)</f>
        <v>59035</v>
      </c>
      <c r="C232" t="s">
        <v>9</v>
      </c>
      <c r="D232" s="1">
        <v>15</v>
      </c>
      <c r="E232">
        <v>1</v>
      </c>
      <c r="F232">
        <v>89</v>
      </c>
      <c r="G232">
        <v>90</v>
      </c>
      <c r="H232">
        <v>427</v>
      </c>
      <c r="I232" s="2">
        <v>21.07728337</v>
      </c>
      <c r="J232" cm="1">
        <f t="array" ref="J232">IF(AND(I232&gt;=0,I232&lt;=20),0,IF(AND(I232&gt;20,I232&lt;=40),1, IF(AND(I232&gt;40,I232&lt;=60),2,IF(AND(I232&gt;60,I232&lt;=80),3, IF(AND(I232&gt;80,I232&lt;=100),4,”5”)))))</f>
        <v>1</v>
      </c>
    </row>
    <row r="233" spans="1:10" x14ac:dyDescent="0.3">
      <c r="A233" t="str">
        <f t="shared" si="4"/>
        <v>59035_16</v>
      </c>
      <c r="B233">
        <f>VLOOKUP(C233,[1]lookuptable!$A$1:$C$7,2,0)</f>
        <v>59035</v>
      </c>
      <c r="C233" t="s">
        <v>9</v>
      </c>
      <c r="D233" s="1">
        <v>16</v>
      </c>
      <c r="E233">
        <v>0</v>
      </c>
      <c r="F233">
        <v>119</v>
      </c>
      <c r="G233">
        <v>119</v>
      </c>
      <c r="H233">
        <v>510</v>
      </c>
      <c r="I233" s="2">
        <v>23.333333329999999</v>
      </c>
      <c r="J233" cm="1">
        <f t="array" ref="J233">IF(AND(I233&gt;=0,I233&lt;=20),0,IF(AND(I233&gt;20,I233&lt;=40),1, IF(AND(I233&gt;40,I233&lt;=60),2,IF(AND(I233&gt;60,I233&lt;=80),3, IF(AND(I233&gt;80,I233&lt;=100),4,”5”)))))</f>
        <v>1</v>
      </c>
    </row>
    <row r="234" spans="1:10" x14ac:dyDescent="0.3">
      <c r="A234" t="str">
        <f t="shared" si="4"/>
        <v>59035_17</v>
      </c>
      <c r="B234">
        <f>VLOOKUP(C234,[1]lookuptable!$A$1:$C$7,2,0)</f>
        <v>59035</v>
      </c>
      <c r="C234" t="s">
        <v>9</v>
      </c>
      <c r="D234" s="1">
        <v>17</v>
      </c>
      <c r="E234">
        <v>0</v>
      </c>
      <c r="F234">
        <v>109</v>
      </c>
      <c r="G234">
        <v>109</v>
      </c>
      <c r="H234">
        <v>457</v>
      </c>
      <c r="I234" s="2">
        <v>23.8512035</v>
      </c>
      <c r="J234" cm="1">
        <f t="array" ref="J234">IF(AND(I234&gt;=0,I234&lt;=20),0,IF(AND(I234&gt;20,I234&lt;=40),1, IF(AND(I234&gt;40,I234&lt;=60),2,IF(AND(I234&gt;60,I234&lt;=80),3, IF(AND(I234&gt;80,I234&lt;=100),4,”5”)))))</f>
        <v>1</v>
      </c>
    </row>
    <row r="235" spans="1:10" x14ac:dyDescent="0.3">
      <c r="A235" t="str">
        <f t="shared" si="4"/>
        <v>59035_18</v>
      </c>
      <c r="B235">
        <f>VLOOKUP(C235,[1]lookuptable!$A$1:$C$7,2,0)</f>
        <v>59035</v>
      </c>
      <c r="C235" t="s">
        <v>9</v>
      </c>
      <c r="D235" s="1">
        <v>18</v>
      </c>
      <c r="E235">
        <v>0</v>
      </c>
      <c r="F235">
        <v>62</v>
      </c>
      <c r="G235">
        <v>62</v>
      </c>
      <c r="H235">
        <v>377</v>
      </c>
      <c r="I235" s="2">
        <v>16.445623340000001</v>
      </c>
      <c r="J235" cm="1">
        <f t="array" ref="J235">IF(AND(I235&gt;=0,I235&lt;=20),0,IF(AND(I235&gt;20,I235&lt;=40),1, IF(AND(I235&gt;40,I235&lt;=60),2,IF(AND(I235&gt;60,I235&lt;=80),3, IF(AND(I235&gt;80,I235&lt;=100),4,”5”)))))</f>
        <v>0</v>
      </c>
    </row>
    <row r="236" spans="1:10" x14ac:dyDescent="0.3">
      <c r="A236" t="str">
        <f t="shared" si="4"/>
        <v>59035_19</v>
      </c>
      <c r="B236">
        <f>VLOOKUP(C236,[1]lookuptable!$A$1:$C$7,2,0)</f>
        <v>59035</v>
      </c>
      <c r="C236" t="s">
        <v>9</v>
      </c>
      <c r="D236" s="1">
        <v>19</v>
      </c>
      <c r="E236">
        <v>0</v>
      </c>
      <c r="F236">
        <v>78</v>
      </c>
      <c r="G236">
        <v>78</v>
      </c>
      <c r="H236">
        <v>495</v>
      </c>
      <c r="I236" s="2">
        <v>15.75757576</v>
      </c>
      <c r="J236" cm="1">
        <f t="array" ref="J236">IF(AND(I236&gt;=0,I236&lt;=20),0,IF(AND(I236&gt;20,I236&lt;=40),1, IF(AND(I236&gt;40,I236&lt;=60),2,IF(AND(I236&gt;60,I236&lt;=80),3, IF(AND(I236&gt;80,I236&lt;=100),4,”5”)))))</f>
        <v>0</v>
      </c>
    </row>
    <row r="237" spans="1:10" x14ac:dyDescent="0.3">
      <c r="A237" t="str">
        <f t="shared" si="4"/>
        <v>59035_20</v>
      </c>
      <c r="B237">
        <f>VLOOKUP(C237,[1]lookuptable!$A$1:$C$7,2,0)</f>
        <v>59035</v>
      </c>
      <c r="C237" t="s">
        <v>9</v>
      </c>
      <c r="D237" s="1">
        <v>20</v>
      </c>
      <c r="E237">
        <v>0</v>
      </c>
      <c r="F237">
        <v>128</v>
      </c>
      <c r="G237">
        <v>128</v>
      </c>
      <c r="H237">
        <v>466</v>
      </c>
      <c r="I237" s="2">
        <v>27.46781116</v>
      </c>
      <c r="J237" cm="1">
        <f t="array" ref="J237">IF(AND(I237&gt;=0,I237&lt;=20),0,IF(AND(I237&gt;20,I237&lt;=40),1, IF(AND(I237&gt;40,I237&lt;=60),2,IF(AND(I237&gt;60,I237&lt;=80),3, IF(AND(I237&gt;80,I237&lt;=100),4,”5”)))))</f>
        <v>1</v>
      </c>
    </row>
    <row r="238" spans="1:10" x14ac:dyDescent="0.3">
      <c r="A238" t="str">
        <f t="shared" si="4"/>
        <v>59035_21</v>
      </c>
      <c r="B238">
        <f>VLOOKUP(C238,[1]lookuptable!$A$1:$C$7,2,0)</f>
        <v>59035</v>
      </c>
      <c r="C238" t="s">
        <v>9</v>
      </c>
      <c r="D238" s="1">
        <v>21</v>
      </c>
      <c r="E238">
        <v>2</v>
      </c>
      <c r="F238">
        <v>111</v>
      </c>
      <c r="G238">
        <v>113</v>
      </c>
      <c r="H238">
        <v>416</v>
      </c>
      <c r="I238" s="2">
        <v>27.16346154</v>
      </c>
      <c r="J238" cm="1">
        <f t="array" ref="J238">IF(AND(I238&gt;=0,I238&lt;=20),0,IF(AND(I238&gt;20,I238&lt;=40),1, IF(AND(I238&gt;40,I238&lt;=60),2,IF(AND(I238&gt;60,I238&lt;=80),3, IF(AND(I238&gt;80,I238&lt;=100),4,”5”)))))</f>
        <v>1</v>
      </c>
    </row>
    <row r="239" spans="1:10" x14ac:dyDescent="0.3">
      <c r="A239" t="str">
        <f t="shared" si="4"/>
        <v>59035_22</v>
      </c>
      <c r="B239">
        <f>VLOOKUP(C239,[1]lookuptable!$A$1:$C$7,2,0)</f>
        <v>59035</v>
      </c>
      <c r="C239" t="s">
        <v>9</v>
      </c>
      <c r="D239" s="1">
        <v>22</v>
      </c>
      <c r="E239">
        <v>2</v>
      </c>
      <c r="F239">
        <v>74</v>
      </c>
      <c r="G239">
        <v>76</v>
      </c>
      <c r="H239">
        <v>406</v>
      </c>
      <c r="I239" s="2">
        <v>18.719211820000002</v>
      </c>
      <c r="J239" cm="1">
        <f t="array" ref="J239">IF(AND(I239&gt;=0,I239&lt;=20),0,IF(AND(I239&gt;20,I239&lt;=40),1, IF(AND(I239&gt;40,I239&lt;=60),2,IF(AND(I239&gt;60,I239&lt;=80),3, IF(AND(I239&gt;80,I239&lt;=100),4,”5”)))))</f>
        <v>0</v>
      </c>
    </row>
    <row r="240" spans="1:10" x14ac:dyDescent="0.3">
      <c r="A240" t="str">
        <f t="shared" si="4"/>
        <v>59035_23</v>
      </c>
      <c r="B240">
        <f>VLOOKUP(C240,[1]lookuptable!$A$1:$C$7,2,0)</f>
        <v>59035</v>
      </c>
      <c r="C240" t="s">
        <v>9</v>
      </c>
      <c r="D240" s="1">
        <v>23</v>
      </c>
      <c r="E240">
        <v>0</v>
      </c>
      <c r="F240">
        <v>118</v>
      </c>
      <c r="G240">
        <v>118</v>
      </c>
      <c r="H240">
        <v>497</v>
      </c>
      <c r="I240" s="2">
        <v>23.742454729999999</v>
      </c>
      <c r="J240" cm="1">
        <f t="array" ref="J240">IF(AND(I240&gt;=0,I240&lt;=20),0,IF(AND(I240&gt;20,I240&lt;=40),1, IF(AND(I240&gt;40,I240&lt;=60),2,IF(AND(I240&gt;60,I240&lt;=80),3, IF(AND(I240&gt;80,I240&lt;=100),4,”5”)))))</f>
        <v>1</v>
      </c>
    </row>
    <row r="241" spans="1:10" x14ac:dyDescent="0.3">
      <c r="A241" t="str">
        <f t="shared" si="4"/>
        <v>59035_24</v>
      </c>
      <c r="B241">
        <f>VLOOKUP(C241,[1]lookuptable!$A$1:$C$7,2,0)</f>
        <v>59035</v>
      </c>
      <c r="C241" t="s">
        <v>9</v>
      </c>
      <c r="D241" s="1">
        <v>24</v>
      </c>
      <c r="E241">
        <v>0</v>
      </c>
      <c r="F241">
        <v>98</v>
      </c>
      <c r="G241">
        <v>98</v>
      </c>
      <c r="H241">
        <v>574</v>
      </c>
      <c r="I241" s="2">
        <v>17.073170730000001</v>
      </c>
      <c r="J241" cm="1">
        <f t="array" ref="J241">IF(AND(I241&gt;=0,I241&lt;=20),0,IF(AND(I241&gt;20,I241&lt;=40),1, IF(AND(I241&gt;40,I241&lt;=60),2,IF(AND(I241&gt;60,I241&lt;=80),3, IF(AND(I241&gt;80,I241&lt;=100),4,”5”)))))</f>
        <v>0</v>
      </c>
    </row>
    <row r="242" spans="1:10" x14ac:dyDescent="0.3">
      <c r="A242" t="str">
        <f t="shared" si="4"/>
        <v>59035_25</v>
      </c>
      <c r="B242">
        <f>VLOOKUP(C242,[1]lookuptable!$A$1:$C$7,2,0)</f>
        <v>59035</v>
      </c>
      <c r="C242" t="s">
        <v>9</v>
      </c>
      <c r="D242" s="1">
        <v>25</v>
      </c>
      <c r="E242">
        <v>2</v>
      </c>
      <c r="F242">
        <v>116</v>
      </c>
      <c r="G242">
        <v>118</v>
      </c>
      <c r="H242">
        <v>396</v>
      </c>
      <c r="I242" s="2">
        <v>29.7979798</v>
      </c>
      <c r="J242" cm="1">
        <f t="array" ref="J242">IF(AND(I242&gt;=0,I242&lt;=20),0,IF(AND(I242&gt;20,I242&lt;=40),1, IF(AND(I242&gt;40,I242&lt;=60),2,IF(AND(I242&gt;60,I242&lt;=80),3, IF(AND(I242&gt;80,I242&lt;=100),4,”5”)))))</f>
        <v>1</v>
      </c>
    </row>
    <row r="243" spans="1:10" x14ac:dyDescent="0.3">
      <c r="A243" t="str">
        <f t="shared" si="4"/>
        <v>59035_26</v>
      </c>
      <c r="B243">
        <f>VLOOKUP(C243,[1]lookuptable!$A$1:$C$7,2,0)</f>
        <v>59035</v>
      </c>
      <c r="C243" t="s">
        <v>9</v>
      </c>
      <c r="D243" s="1">
        <v>26</v>
      </c>
      <c r="E243">
        <v>2</v>
      </c>
      <c r="F243">
        <v>96</v>
      </c>
      <c r="G243">
        <v>98</v>
      </c>
      <c r="H243">
        <v>348</v>
      </c>
      <c r="I243" s="2">
        <v>28.160919539999998</v>
      </c>
      <c r="J243" cm="1">
        <f t="array" ref="J243">IF(AND(I243&gt;=0,I243&lt;=20),0,IF(AND(I243&gt;20,I243&lt;=40),1, IF(AND(I243&gt;40,I243&lt;=60),2,IF(AND(I243&gt;60,I243&lt;=80),3, IF(AND(I243&gt;80,I243&lt;=100),4,”5”)))))</f>
        <v>1</v>
      </c>
    </row>
    <row r="244" spans="1:10" x14ac:dyDescent="0.3">
      <c r="A244" t="str">
        <f t="shared" si="4"/>
        <v>59035_27</v>
      </c>
      <c r="B244">
        <f>VLOOKUP(C244,[1]lookuptable!$A$1:$C$7,2,0)</f>
        <v>59035</v>
      </c>
      <c r="C244" t="s">
        <v>9</v>
      </c>
      <c r="D244" s="1">
        <v>27</v>
      </c>
      <c r="E244">
        <v>2</v>
      </c>
      <c r="F244">
        <v>120</v>
      </c>
      <c r="G244">
        <v>122</v>
      </c>
      <c r="H244">
        <v>456</v>
      </c>
      <c r="I244" s="2">
        <v>26.75438596</v>
      </c>
      <c r="J244" cm="1">
        <f t="array" ref="J244">IF(AND(I244&gt;=0,I244&lt;=20),0,IF(AND(I244&gt;20,I244&lt;=40),1, IF(AND(I244&gt;40,I244&lt;=60),2,IF(AND(I244&gt;60,I244&lt;=80),3, IF(AND(I244&gt;80,I244&lt;=100),4,”5”)))))</f>
        <v>1</v>
      </c>
    </row>
    <row r="245" spans="1:10" x14ac:dyDescent="0.3">
      <c r="A245" t="str">
        <f t="shared" si="4"/>
        <v>59035_28</v>
      </c>
      <c r="B245">
        <f>VLOOKUP(C245,[1]lookuptable!$A$1:$C$7,2,0)</f>
        <v>59035</v>
      </c>
      <c r="C245" t="s">
        <v>9</v>
      </c>
      <c r="D245" s="1">
        <v>28</v>
      </c>
      <c r="E245">
        <v>0</v>
      </c>
      <c r="F245">
        <v>118</v>
      </c>
      <c r="G245">
        <v>118</v>
      </c>
      <c r="H245">
        <v>551</v>
      </c>
      <c r="I245" s="2">
        <v>21.415607990000002</v>
      </c>
      <c r="J245" cm="1">
        <f t="array" ref="J245">IF(AND(I245&gt;=0,I245&lt;=20),0,IF(AND(I245&gt;20,I245&lt;=40),1, IF(AND(I245&gt;40,I245&lt;=60),2,IF(AND(I245&gt;60,I245&lt;=80),3, IF(AND(I245&gt;80,I245&lt;=100),4,”5”)))))</f>
        <v>1</v>
      </c>
    </row>
    <row r="246" spans="1:10" x14ac:dyDescent="0.3">
      <c r="A246" t="str">
        <f t="shared" si="4"/>
        <v>59035_29</v>
      </c>
      <c r="B246">
        <f>VLOOKUP(C246,[1]lookuptable!$A$1:$C$7,2,0)</f>
        <v>59035</v>
      </c>
      <c r="C246" t="s">
        <v>9</v>
      </c>
      <c r="D246" s="1">
        <v>29</v>
      </c>
      <c r="E246">
        <v>0</v>
      </c>
      <c r="F246">
        <v>100</v>
      </c>
      <c r="G246">
        <v>100</v>
      </c>
      <c r="H246">
        <v>404</v>
      </c>
      <c r="I246" s="2">
        <v>24.75247525</v>
      </c>
      <c r="J246" cm="1">
        <f t="array" ref="J246">IF(AND(I246&gt;=0,I246&lt;=20),0,IF(AND(I246&gt;20,I246&lt;=40),1, IF(AND(I246&gt;40,I246&lt;=60),2,IF(AND(I246&gt;60,I246&lt;=80),3, IF(AND(I246&gt;80,I246&lt;=100),4,”5”)))))</f>
        <v>1</v>
      </c>
    </row>
    <row r="247" spans="1:10" x14ac:dyDescent="0.3">
      <c r="A247" t="str">
        <f t="shared" si="4"/>
        <v>59035_30</v>
      </c>
      <c r="B247">
        <f>VLOOKUP(C247,[1]lookuptable!$A$1:$C$7,2,0)</f>
        <v>59035</v>
      </c>
      <c r="C247" t="s">
        <v>9</v>
      </c>
      <c r="D247" s="1">
        <v>30</v>
      </c>
      <c r="E247">
        <v>5</v>
      </c>
      <c r="F247">
        <v>198</v>
      </c>
      <c r="G247">
        <v>203</v>
      </c>
      <c r="H247">
        <v>522</v>
      </c>
      <c r="I247" s="2">
        <v>38.888888889999997</v>
      </c>
      <c r="J247" cm="1">
        <f t="array" ref="J247">IF(AND(I247&gt;=0,I247&lt;=20),0,IF(AND(I247&gt;20,I247&lt;=40),1, IF(AND(I247&gt;40,I247&lt;=60),2,IF(AND(I247&gt;60,I247&lt;=80),3, IF(AND(I247&gt;80,I247&lt;=100),4,”5”)))))</f>
        <v>1</v>
      </c>
    </row>
    <row r="248" spans="1:10" x14ac:dyDescent="0.3">
      <c r="A248" t="str">
        <f t="shared" si="4"/>
        <v>59035_31</v>
      </c>
      <c r="B248">
        <f>VLOOKUP(C248,[1]lookuptable!$A$1:$C$7,2,0)</f>
        <v>59035</v>
      </c>
      <c r="C248" t="s">
        <v>9</v>
      </c>
      <c r="D248" s="1">
        <v>31</v>
      </c>
      <c r="E248">
        <v>1</v>
      </c>
      <c r="F248">
        <v>135</v>
      </c>
      <c r="G248">
        <v>136</v>
      </c>
      <c r="H248">
        <v>354</v>
      </c>
      <c r="I248" s="2">
        <v>38.4180791</v>
      </c>
      <c r="J248" cm="1">
        <f t="array" ref="J248">IF(AND(I248&gt;=0,I248&lt;=20),0,IF(AND(I248&gt;20,I248&lt;=40),1, IF(AND(I248&gt;40,I248&lt;=60),2,IF(AND(I248&gt;60,I248&lt;=80),3, IF(AND(I248&gt;80,I248&lt;=100),4,”5”)))))</f>
        <v>1</v>
      </c>
    </row>
    <row r="249" spans="1:10" x14ac:dyDescent="0.3">
      <c r="A249" t="str">
        <f t="shared" si="4"/>
        <v>59035_ 32A</v>
      </c>
      <c r="B249">
        <f>VLOOKUP(C249,[1]lookuptable!$A$1:$C$7,2,0)</f>
        <v>59035</v>
      </c>
      <c r="C249" t="s">
        <v>9</v>
      </c>
      <c r="D249" s="1" t="s">
        <v>10</v>
      </c>
      <c r="E249">
        <v>1</v>
      </c>
      <c r="F249">
        <v>163</v>
      </c>
      <c r="G249">
        <v>164</v>
      </c>
      <c r="H249">
        <v>456</v>
      </c>
      <c r="I249" s="2">
        <v>35.96491228</v>
      </c>
      <c r="J249" cm="1">
        <f t="array" ref="J249">IF(AND(I249&gt;=0,I249&lt;=20),0,IF(AND(I249&gt;20,I249&lt;=40),1, IF(AND(I249&gt;40,I249&lt;=60),2,IF(AND(I249&gt;60,I249&lt;=80),3, IF(AND(I249&gt;80,I249&lt;=100),4,”5”)))))</f>
        <v>1</v>
      </c>
    </row>
    <row r="250" spans="1:10" x14ac:dyDescent="0.3">
      <c r="A250" t="str">
        <f t="shared" si="4"/>
        <v>59035_ 32B</v>
      </c>
      <c r="B250">
        <f>VLOOKUP(C250,[1]lookuptable!$A$1:$C$7,2,0)</f>
        <v>59035</v>
      </c>
      <c r="C250" t="s">
        <v>9</v>
      </c>
      <c r="D250" s="1" t="s">
        <v>11</v>
      </c>
      <c r="E250">
        <v>3</v>
      </c>
      <c r="F250">
        <v>154</v>
      </c>
      <c r="G250">
        <v>157</v>
      </c>
      <c r="H250">
        <v>459</v>
      </c>
      <c r="I250" s="2">
        <v>34.204793029999998</v>
      </c>
      <c r="J250" cm="1">
        <f t="array" ref="J250">IF(AND(I250&gt;=0,I250&lt;=20),0,IF(AND(I250&gt;20,I250&lt;=40),1, IF(AND(I250&gt;40,I250&lt;=60),2,IF(AND(I250&gt;60,I250&lt;=80),3, IF(AND(I250&gt;80,I250&lt;=100),4,”5”)))))</f>
        <v>1</v>
      </c>
    </row>
    <row r="251" spans="1:10" x14ac:dyDescent="0.3">
      <c r="A251" t="str">
        <f t="shared" si="4"/>
        <v>59035_33</v>
      </c>
      <c r="B251">
        <f>VLOOKUP(C251,[1]lookuptable!$A$1:$C$7,2,0)</f>
        <v>59035</v>
      </c>
      <c r="C251" t="s">
        <v>9</v>
      </c>
      <c r="D251" s="1">
        <v>33</v>
      </c>
      <c r="E251">
        <v>1</v>
      </c>
      <c r="F251">
        <v>154</v>
      </c>
      <c r="G251">
        <v>155</v>
      </c>
      <c r="H251">
        <v>376</v>
      </c>
      <c r="I251" s="2">
        <v>41.223404260000002</v>
      </c>
      <c r="J251" cm="1">
        <f t="array" ref="J251">IF(AND(I251&gt;=0,I251&lt;=20),0,IF(AND(I251&gt;20,I251&lt;=40),1, IF(AND(I251&gt;40,I251&lt;=60),2,IF(AND(I251&gt;60,I251&lt;=80),3, IF(AND(I251&gt;80,I251&lt;=100),4,”5”)))))</f>
        <v>2</v>
      </c>
    </row>
    <row r="252" spans="1:10" x14ac:dyDescent="0.3">
      <c r="A252" t="str">
        <f t="shared" si="4"/>
        <v>59035_34</v>
      </c>
      <c r="B252">
        <f>VLOOKUP(C252,[1]lookuptable!$A$1:$C$7,2,0)</f>
        <v>59035</v>
      </c>
      <c r="C252" t="s">
        <v>9</v>
      </c>
      <c r="D252" s="1">
        <v>34</v>
      </c>
      <c r="E252">
        <v>1</v>
      </c>
      <c r="F252">
        <v>163</v>
      </c>
      <c r="G252">
        <v>164</v>
      </c>
      <c r="H252">
        <v>346</v>
      </c>
      <c r="I252" s="2">
        <v>47.398843929999998</v>
      </c>
      <c r="J252" cm="1">
        <f t="array" ref="J252">IF(AND(I252&gt;=0,I252&lt;=20),0,IF(AND(I252&gt;20,I252&lt;=40),1, IF(AND(I252&gt;40,I252&lt;=60),2,IF(AND(I252&gt;60,I252&lt;=80),3, IF(AND(I252&gt;80,I252&lt;=100),4,”5”)))))</f>
        <v>2</v>
      </c>
    </row>
    <row r="253" spans="1:10" x14ac:dyDescent="0.3">
      <c r="A253" t="str">
        <f t="shared" si="4"/>
        <v>59035_35</v>
      </c>
      <c r="B253">
        <f>VLOOKUP(C253,[1]lookuptable!$A$1:$C$7,2,0)</f>
        <v>59035</v>
      </c>
      <c r="C253" t="s">
        <v>9</v>
      </c>
      <c r="D253" s="1">
        <v>35</v>
      </c>
      <c r="E253">
        <v>6</v>
      </c>
      <c r="F253">
        <v>181</v>
      </c>
      <c r="G253">
        <v>187</v>
      </c>
      <c r="H253">
        <v>505</v>
      </c>
      <c r="I253" s="2">
        <v>37.029702970000002</v>
      </c>
      <c r="J253" cm="1">
        <f t="array" ref="J253">IF(AND(I253&gt;=0,I253&lt;=20),0,IF(AND(I253&gt;20,I253&lt;=40),1, IF(AND(I253&gt;40,I253&lt;=60),2,IF(AND(I253&gt;60,I253&lt;=80),3, IF(AND(I253&gt;80,I253&lt;=100),4,”5”)))))</f>
        <v>1</v>
      </c>
    </row>
    <row r="254" spans="1:10" x14ac:dyDescent="0.3">
      <c r="A254" t="str">
        <f t="shared" si="4"/>
        <v>59035_36</v>
      </c>
      <c r="B254">
        <f>VLOOKUP(C254,[1]lookuptable!$A$1:$C$7,2,0)</f>
        <v>59035</v>
      </c>
      <c r="C254" t="s">
        <v>9</v>
      </c>
      <c r="D254" s="1">
        <v>36</v>
      </c>
      <c r="E254">
        <v>0</v>
      </c>
      <c r="F254">
        <v>156</v>
      </c>
      <c r="G254">
        <v>156</v>
      </c>
      <c r="H254">
        <v>499</v>
      </c>
      <c r="I254" s="2">
        <v>31.262525050000001</v>
      </c>
      <c r="J254" cm="1">
        <f t="array" ref="J254">IF(AND(I254&gt;=0,I254&lt;=20),0,IF(AND(I254&gt;20,I254&lt;=40),1, IF(AND(I254&gt;40,I254&lt;=60),2,IF(AND(I254&gt;60,I254&lt;=80),3, IF(AND(I254&gt;80,I254&lt;=100),4,”5”)))))</f>
        <v>1</v>
      </c>
    </row>
    <row r="255" spans="1:10" x14ac:dyDescent="0.3">
      <c r="A255" t="str">
        <f t="shared" si="4"/>
        <v>59035_37</v>
      </c>
      <c r="B255">
        <f>VLOOKUP(C255,[1]lookuptable!$A$1:$C$7,2,0)</f>
        <v>59035</v>
      </c>
      <c r="C255" t="s">
        <v>9</v>
      </c>
      <c r="D255" s="1">
        <v>37</v>
      </c>
      <c r="E255">
        <v>0</v>
      </c>
      <c r="F255">
        <v>171</v>
      </c>
      <c r="G255">
        <v>171</v>
      </c>
      <c r="H255">
        <v>406</v>
      </c>
      <c r="I255" s="2">
        <v>42.1182266</v>
      </c>
      <c r="J255" cm="1">
        <f t="array" ref="J255">IF(AND(I255&gt;=0,I255&lt;=20),0,IF(AND(I255&gt;20,I255&lt;=40),1, IF(AND(I255&gt;40,I255&lt;=60),2,IF(AND(I255&gt;60,I255&lt;=80),3, IF(AND(I255&gt;80,I255&lt;=100),4,”5”)))))</f>
        <v>2</v>
      </c>
    </row>
    <row r="256" spans="1:10" x14ac:dyDescent="0.3">
      <c r="A256" t="str">
        <f t="shared" si="4"/>
        <v>59035_38</v>
      </c>
      <c r="B256">
        <f>VLOOKUP(C256,[1]lookuptable!$A$1:$C$7,2,0)</f>
        <v>59035</v>
      </c>
      <c r="C256" t="s">
        <v>9</v>
      </c>
      <c r="D256" s="1">
        <v>38</v>
      </c>
      <c r="E256">
        <v>0</v>
      </c>
      <c r="F256">
        <v>91</v>
      </c>
      <c r="G256">
        <v>91</v>
      </c>
      <c r="H256">
        <v>316</v>
      </c>
      <c r="I256" s="2">
        <v>28.797468349999999</v>
      </c>
      <c r="J256" cm="1">
        <f t="array" ref="J256">IF(AND(I256&gt;=0,I256&lt;=20),0,IF(AND(I256&gt;20,I256&lt;=40),1, IF(AND(I256&gt;40,I256&lt;=60),2,IF(AND(I256&gt;60,I256&lt;=80),3, IF(AND(I256&gt;80,I256&lt;=100),4,”5”)))))</f>
        <v>1</v>
      </c>
    </row>
    <row r="257" spans="1:10" x14ac:dyDescent="0.3">
      <c r="A257" t="str">
        <f t="shared" si="4"/>
        <v>59035_39</v>
      </c>
      <c r="B257">
        <f>VLOOKUP(C257,[1]lookuptable!$A$1:$C$7,2,0)</f>
        <v>59035</v>
      </c>
      <c r="C257" t="s">
        <v>9</v>
      </c>
      <c r="D257" s="1">
        <v>39</v>
      </c>
      <c r="E257">
        <v>0</v>
      </c>
      <c r="F257">
        <v>239</v>
      </c>
      <c r="G257">
        <v>239</v>
      </c>
      <c r="H257">
        <v>639</v>
      </c>
      <c r="I257" s="2">
        <v>37.402190920000002</v>
      </c>
      <c r="J257" cm="1">
        <f t="array" ref="J257">IF(AND(I257&gt;=0,I257&lt;=20),0,IF(AND(I257&gt;20,I257&lt;=40),1, IF(AND(I257&gt;40,I257&lt;=60),2,IF(AND(I257&gt;60,I257&lt;=80),3, IF(AND(I257&gt;80,I257&lt;=100),4,”5”)))))</f>
        <v>1</v>
      </c>
    </row>
    <row r="258" spans="1:10" x14ac:dyDescent="0.3">
      <c r="A258" t="str">
        <f t="shared" ref="A258:A321" si="6">CONCATENATE(B258,"_",D258)</f>
        <v>59035_40</v>
      </c>
      <c r="B258">
        <f>VLOOKUP(C258,[1]lookuptable!$A$1:$C$7,2,0)</f>
        <v>59035</v>
      </c>
      <c r="C258" t="s">
        <v>9</v>
      </c>
      <c r="D258" s="1">
        <v>40</v>
      </c>
      <c r="E258">
        <v>0</v>
      </c>
      <c r="F258">
        <v>155</v>
      </c>
      <c r="G258">
        <v>155</v>
      </c>
      <c r="H258">
        <v>495</v>
      </c>
      <c r="I258" s="2">
        <v>31.313131309999999</v>
      </c>
      <c r="J258" cm="1">
        <f t="array" ref="J258">IF(AND(I258&gt;=0,I258&lt;=20),0,IF(AND(I258&gt;20,I258&lt;=40),1, IF(AND(I258&gt;40,I258&lt;=60),2,IF(AND(I258&gt;60,I258&lt;=80),3, IF(AND(I258&gt;80,I258&lt;=100),4,”5”)))))</f>
        <v>1</v>
      </c>
    </row>
    <row r="259" spans="1:10" x14ac:dyDescent="0.3">
      <c r="A259" t="str">
        <f t="shared" si="6"/>
        <v>59035_41</v>
      </c>
      <c r="B259">
        <f>VLOOKUP(C259,[1]lookuptable!$A$1:$C$7,2,0)</f>
        <v>59035</v>
      </c>
      <c r="C259" t="s">
        <v>9</v>
      </c>
      <c r="D259" s="1">
        <v>41</v>
      </c>
      <c r="E259">
        <v>1</v>
      </c>
      <c r="F259">
        <v>155</v>
      </c>
      <c r="G259">
        <v>156</v>
      </c>
      <c r="H259">
        <v>398</v>
      </c>
      <c r="I259" s="2">
        <v>39.195979899999998</v>
      </c>
      <c r="J259" cm="1">
        <f t="array" ref="J259">IF(AND(I259&gt;=0,I259&lt;=20),0,IF(AND(I259&gt;20,I259&lt;=40),1, IF(AND(I259&gt;40,I259&lt;=60),2,IF(AND(I259&gt;60,I259&lt;=80),3, IF(AND(I259&gt;80,I259&lt;=100),4,”5”)))))</f>
        <v>1</v>
      </c>
    </row>
    <row r="260" spans="1:10" x14ac:dyDescent="0.3">
      <c r="A260" t="str">
        <f t="shared" si="6"/>
        <v>59035_42</v>
      </c>
      <c r="B260">
        <f>VLOOKUP(C260,[1]lookuptable!$A$1:$C$7,2,0)</f>
        <v>59035</v>
      </c>
      <c r="C260" t="s">
        <v>9</v>
      </c>
      <c r="D260" s="1">
        <v>42</v>
      </c>
      <c r="E260">
        <v>1</v>
      </c>
      <c r="F260">
        <v>126</v>
      </c>
      <c r="G260">
        <v>127</v>
      </c>
      <c r="H260">
        <v>413</v>
      </c>
      <c r="I260" s="2">
        <v>30.750605329999999</v>
      </c>
      <c r="J260" cm="1">
        <f t="array" ref="J260">IF(AND(I260&gt;=0,I260&lt;=20),0,IF(AND(I260&gt;20,I260&lt;=40),1, IF(AND(I260&gt;40,I260&lt;=60),2,IF(AND(I260&gt;60,I260&lt;=80),3, IF(AND(I260&gt;80,I260&lt;=100),4,”5”)))))</f>
        <v>1</v>
      </c>
    </row>
    <row r="261" spans="1:10" x14ac:dyDescent="0.3">
      <c r="A261" t="str">
        <f t="shared" si="6"/>
        <v>59035_43</v>
      </c>
      <c r="B261">
        <f>VLOOKUP(C261,[1]lookuptable!$A$1:$C$7,2,0)</f>
        <v>59035</v>
      </c>
      <c r="C261" t="s">
        <v>9</v>
      </c>
      <c r="D261" s="1">
        <v>43</v>
      </c>
      <c r="E261">
        <v>1</v>
      </c>
      <c r="F261">
        <v>154</v>
      </c>
      <c r="G261">
        <v>155</v>
      </c>
      <c r="H261">
        <v>454</v>
      </c>
      <c r="I261" s="2">
        <v>34.140969159999997</v>
      </c>
      <c r="J261" cm="1">
        <f t="array" ref="J261">IF(AND(I261&gt;=0,I261&lt;=20),0,IF(AND(I261&gt;20,I261&lt;=40),1, IF(AND(I261&gt;40,I261&lt;=60),2,IF(AND(I261&gt;60,I261&lt;=80),3, IF(AND(I261&gt;80,I261&lt;=100),4,”5”)))))</f>
        <v>1</v>
      </c>
    </row>
    <row r="262" spans="1:10" x14ac:dyDescent="0.3">
      <c r="A262" t="str">
        <f t="shared" si="6"/>
        <v>59035_44</v>
      </c>
      <c r="B262">
        <f>VLOOKUP(C262,[1]lookuptable!$A$1:$C$7,2,0)</f>
        <v>59035</v>
      </c>
      <c r="C262" t="s">
        <v>9</v>
      </c>
      <c r="D262" s="1">
        <v>44</v>
      </c>
      <c r="E262">
        <v>2</v>
      </c>
      <c r="F262">
        <v>201</v>
      </c>
      <c r="G262">
        <v>203</v>
      </c>
      <c r="H262">
        <v>503</v>
      </c>
      <c r="I262" s="2">
        <v>40.357852880000003</v>
      </c>
      <c r="J262" cm="1">
        <f t="array" ref="J262">IF(AND(I262&gt;=0,I262&lt;=20),0,IF(AND(I262&gt;20,I262&lt;=40),1, IF(AND(I262&gt;40,I262&lt;=60),2,IF(AND(I262&gt;60,I262&lt;=80),3, IF(AND(I262&gt;80,I262&lt;=100),4,”5”)))))</f>
        <v>2</v>
      </c>
    </row>
    <row r="263" spans="1:10" x14ac:dyDescent="0.3">
      <c r="A263" t="str">
        <f t="shared" si="6"/>
        <v>59035_45</v>
      </c>
      <c r="B263">
        <f>VLOOKUP(C263,[1]lookuptable!$A$1:$C$7,2,0)</f>
        <v>59035</v>
      </c>
      <c r="C263" t="s">
        <v>9</v>
      </c>
      <c r="D263" s="1">
        <v>45</v>
      </c>
      <c r="E263">
        <v>3</v>
      </c>
      <c r="F263">
        <v>145</v>
      </c>
      <c r="G263">
        <v>148</v>
      </c>
      <c r="H263">
        <v>370</v>
      </c>
      <c r="I263" s="2">
        <v>40</v>
      </c>
      <c r="J263" cm="1">
        <f t="array" ref="J263">IF(AND(I263&gt;=0,I263&lt;=20),0,IF(AND(I263&gt;20,I263&lt;=40),1, IF(AND(I263&gt;40,I263&lt;=60),2,IF(AND(I263&gt;60,I263&lt;=80),3, IF(AND(I263&gt;80,I263&lt;=100),4,”5”)))))</f>
        <v>1</v>
      </c>
    </row>
    <row r="264" spans="1:10" x14ac:dyDescent="0.3">
      <c r="A264" t="str">
        <f t="shared" si="6"/>
        <v>59035_46</v>
      </c>
      <c r="B264">
        <f>VLOOKUP(C264,[1]lookuptable!$A$1:$C$7,2,0)</f>
        <v>59035</v>
      </c>
      <c r="C264" t="s">
        <v>9</v>
      </c>
      <c r="D264" s="1">
        <v>46</v>
      </c>
      <c r="E264">
        <v>2</v>
      </c>
      <c r="F264">
        <v>172</v>
      </c>
      <c r="G264">
        <v>174</v>
      </c>
      <c r="H264">
        <v>376</v>
      </c>
      <c r="I264" s="2">
        <v>46.276595739999998</v>
      </c>
      <c r="J264" cm="1">
        <f t="array" ref="J264">IF(AND(I264&gt;=0,I264&lt;=20),0,IF(AND(I264&gt;20,I264&lt;=40),1, IF(AND(I264&gt;40,I264&lt;=60),2,IF(AND(I264&gt;60,I264&lt;=80),3, IF(AND(I264&gt;80,I264&lt;=100),4,”5”)))))</f>
        <v>2</v>
      </c>
    </row>
    <row r="265" spans="1:10" x14ac:dyDescent="0.3">
      <c r="A265" t="str">
        <f t="shared" si="6"/>
        <v>59035_47</v>
      </c>
      <c r="B265">
        <f>VLOOKUP(C265,[1]lookuptable!$A$1:$C$7,2,0)</f>
        <v>59035</v>
      </c>
      <c r="C265" t="s">
        <v>9</v>
      </c>
      <c r="D265" s="1">
        <v>47</v>
      </c>
      <c r="E265">
        <v>1</v>
      </c>
      <c r="F265">
        <v>150</v>
      </c>
      <c r="G265">
        <v>151</v>
      </c>
      <c r="H265">
        <v>451</v>
      </c>
      <c r="I265" s="2">
        <v>33.481152989999998</v>
      </c>
      <c r="J265" cm="1">
        <f t="array" ref="J265">IF(AND(I265&gt;=0,I265&lt;=20),0,IF(AND(I265&gt;20,I265&lt;=40),1, IF(AND(I265&gt;40,I265&lt;=60),2,IF(AND(I265&gt;60,I265&lt;=80),3, IF(AND(I265&gt;80,I265&lt;=100),4,”5”)))))</f>
        <v>1</v>
      </c>
    </row>
    <row r="266" spans="1:10" x14ac:dyDescent="0.3">
      <c r="A266" t="str">
        <f t="shared" si="6"/>
        <v>59035_48</v>
      </c>
      <c r="B266">
        <f>VLOOKUP(C266,[1]lookuptable!$A$1:$C$7,2,0)</f>
        <v>59035</v>
      </c>
      <c r="C266" t="s">
        <v>9</v>
      </c>
      <c r="D266" s="1">
        <v>48</v>
      </c>
      <c r="E266">
        <v>1</v>
      </c>
      <c r="F266">
        <v>165</v>
      </c>
      <c r="G266">
        <v>166</v>
      </c>
      <c r="H266">
        <v>434</v>
      </c>
      <c r="I266" s="2">
        <v>38.248847929999997</v>
      </c>
      <c r="J266" cm="1">
        <f t="array" ref="J266">IF(AND(I266&gt;=0,I266&lt;=20),0,IF(AND(I266&gt;20,I266&lt;=40),1, IF(AND(I266&gt;40,I266&lt;=60),2,IF(AND(I266&gt;60,I266&lt;=80),3, IF(AND(I266&gt;80,I266&lt;=100),4,”5”)))))</f>
        <v>1</v>
      </c>
    </row>
    <row r="267" spans="1:10" x14ac:dyDescent="0.3">
      <c r="A267" t="str">
        <f t="shared" si="6"/>
        <v>59035_49</v>
      </c>
      <c r="B267">
        <f>VLOOKUP(C267,[1]lookuptable!$A$1:$C$7,2,0)</f>
        <v>59035</v>
      </c>
      <c r="C267" t="s">
        <v>9</v>
      </c>
      <c r="D267" s="1">
        <v>49</v>
      </c>
      <c r="E267">
        <v>2</v>
      </c>
      <c r="F267">
        <v>104</v>
      </c>
      <c r="G267">
        <v>106</v>
      </c>
      <c r="H267">
        <v>431</v>
      </c>
      <c r="I267" s="2">
        <v>24.59396752</v>
      </c>
      <c r="J267" cm="1">
        <f t="array" ref="J267">IF(AND(I267&gt;=0,I267&lt;=20),0,IF(AND(I267&gt;20,I267&lt;=40),1, IF(AND(I267&gt;40,I267&lt;=60),2,IF(AND(I267&gt;60,I267&lt;=80),3, IF(AND(I267&gt;80,I267&lt;=100),4,”5”)))))</f>
        <v>1</v>
      </c>
    </row>
    <row r="268" spans="1:10" x14ac:dyDescent="0.3">
      <c r="A268" t="str">
        <f t="shared" si="6"/>
        <v>59035_50</v>
      </c>
      <c r="B268">
        <f>VLOOKUP(C268,[1]lookuptable!$A$1:$C$7,2,0)</f>
        <v>59035</v>
      </c>
      <c r="C268" t="s">
        <v>9</v>
      </c>
      <c r="D268" s="1">
        <v>50</v>
      </c>
      <c r="E268">
        <v>2</v>
      </c>
      <c r="F268">
        <v>137</v>
      </c>
      <c r="G268">
        <v>139</v>
      </c>
      <c r="H268">
        <v>489</v>
      </c>
      <c r="I268" s="2">
        <v>28.425357869999999</v>
      </c>
      <c r="J268" cm="1">
        <f t="array" ref="J268">IF(AND(I268&gt;=0,I268&lt;=20),0,IF(AND(I268&gt;20,I268&lt;=40),1, IF(AND(I268&gt;40,I268&lt;=60),2,IF(AND(I268&gt;60,I268&lt;=80),3, IF(AND(I268&gt;80,I268&lt;=100),4,”5”)))))</f>
        <v>1</v>
      </c>
    </row>
    <row r="269" spans="1:10" x14ac:dyDescent="0.3">
      <c r="A269" t="str">
        <f t="shared" si="6"/>
        <v>59035_51</v>
      </c>
      <c r="B269">
        <f>VLOOKUP(C269,[1]lookuptable!$A$1:$C$7,2,0)</f>
        <v>59035</v>
      </c>
      <c r="C269" t="s">
        <v>9</v>
      </c>
      <c r="D269" s="1">
        <v>51</v>
      </c>
      <c r="E269">
        <v>0</v>
      </c>
      <c r="F269">
        <v>183</v>
      </c>
      <c r="G269">
        <v>183</v>
      </c>
      <c r="H269">
        <v>490</v>
      </c>
      <c r="I269" s="2">
        <v>37.346938780000002</v>
      </c>
      <c r="J269" cm="1">
        <f t="array" ref="J269">IF(AND(I269&gt;=0,I269&lt;=20),0,IF(AND(I269&gt;20,I269&lt;=40),1, IF(AND(I269&gt;40,I269&lt;=60),2,IF(AND(I269&gt;60,I269&lt;=80),3, IF(AND(I269&gt;80,I269&lt;=100),4,”5”)))))</f>
        <v>1</v>
      </c>
    </row>
    <row r="270" spans="1:10" x14ac:dyDescent="0.3">
      <c r="A270" t="str">
        <f t="shared" si="6"/>
        <v>59035_52</v>
      </c>
      <c r="B270">
        <f>VLOOKUP(C270,[1]lookuptable!$A$1:$C$7,2,0)</f>
        <v>59035</v>
      </c>
      <c r="C270" t="s">
        <v>9</v>
      </c>
      <c r="D270" s="1">
        <v>52</v>
      </c>
      <c r="E270">
        <v>2</v>
      </c>
      <c r="F270">
        <v>172</v>
      </c>
      <c r="G270">
        <v>174</v>
      </c>
      <c r="H270">
        <v>444</v>
      </c>
      <c r="I270" s="2">
        <v>39.18918919</v>
      </c>
      <c r="J270" cm="1">
        <f t="array" ref="J270">IF(AND(I270&gt;=0,I270&lt;=20),0,IF(AND(I270&gt;20,I270&lt;=40),1, IF(AND(I270&gt;40,I270&lt;=60),2,IF(AND(I270&gt;60,I270&lt;=80),3, IF(AND(I270&gt;80,I270&lt;=100),4,”5”)))))</f>
        <v>1</v>
      </c>
    </row>
    <row r="271" spans="1:10" x14ac:dyDescent="0.3">
      <c r="A271" t="str">
        <f t="shared" si="6"/>
        <v>59035_53</v>
      </c>
      <c r="B271">
        <f>VLOOKUP(C271,[1]lookuptable!$A$1:$C$7,2,0)</f>
        <v>59035</v>
      </c>
      <c r="C271" t="s">
        <v>9</v>
      </c>
      <c r="D271" s="1">
        <v>53</v>
      </c>
      <c r="E271">
        <v>1</v>
      </c>
      <c r="F271">
        <v>146</v>
      </c>
      <c r="G271">
        <v>147</v>
      </c>
      <c r="H271">
        <v>420</v>
      </c>
      <c r="I271" s="2">
        <v>35</v>
      </c>
      <c r="J271" cm="1">
        <f t="array" ref="J271">IF(AND(I271&gt;=0,I271&lt;=20),0,IF(AND(I271&gt;20,I271&lt;=40),1, IF(AND(I271&gt;40,I271&lt;=60),2,IF(AND(I271&gt;60,I271&lt;=80),3, IF(AND(I271&gt;80,I271&lt;=100),4,”5”)))))</f>
        <v>1</v>
      </c>
    </row>
    <row r="272" spans="1:10" x14ac:dyDescent="0.3">
      <c r="A272" t="str">
        <f t="shared" si="6"/>
        <v>59035_54</v>
      </c>
      <c r="B272">
        <f>VLOOKUP(C272,[1]lookuptable!$A$1:$C$7,2,0)</f>
        <v>59035</v>
      </c>
      <c r="C272" t="s">
        <v>9</v>
      </c>
      <c r="D272" s="1">
        <v>54</v>
      </c>
      <c r="E272">
        <v>0</v>
      </c>
      <c r="F272">
        <v>129</v>
      </c>
      <c r="G272">
        <v>129</v>
      </c>
      <c r="H272">
        <v>345</v>
      </c>
      <c r="I272" s="2">
        <v>37.391304349999999</v>
      </c>
      <c r="J272" cm="1">
        <f t="array" ref="J272">IF(AND(I272&gt;=0,I272&lt;=20),0,IF(AND(I272&gt;20,I272&lt;=40),1, IF(AND(I272&gt;40,I272&lt;=60),2,IF(AND(I272&gt;60,I272&lt;=80),3, IF(AND(I272&gt;80,I272&lt;=100),4,”5”)))))</f>
        <v>1</v>
      </c>
    </row>
    <row r="273" spans="1:10" x14ac:dyDescent="0.3">
      <c r="A273" t="str">
        <f t="shared" si="6"/>
        <v>59035_55</v>
      </c>
      <c r="B273">
        <f>VLOOKUP(C273,[1]lookuptable!$A$1:$C$7,2,0)</f>
        <v>59035</v>
      </c>
      <c r="C273" t="s">
        <v>9</v>
      </c>
      <c r="D273" s="1">
        <v>55</v>
      </c>
      <c r="E273">
        <v>0</v>
      </c>
      <c r="F273">
        <v>192</v>
      </c>
      <c r="G273">
        <v>192</v>
      </c>
      <c r="H273">
        <v>435</v>
      </c>
      <c r="I273" s="2">
        <v>44.137931029999997</v>
      </c>
      <c r="J273" cm="1">
        <f t="array" ref="J273">IF(AND(I273&gt;=0,I273&lt;=20),0,IF(AND(I273&gt;20,I273&lt;=40),1, IF(AND(I273&gt;40,I273&lt;=60),2,IF(AND(I273&gt;60,I273&lt;=80),3, IF(AND(I273&gt;80,I273&lt;=100),4,”5”)))))</f>
        <v>2</v>
      </c>
    </row>
    <row r="274" spans="1:10" x14ac:dyDescent="0.3">
      <c r="A274" t="str">
        <f t="shared" si="6"/>
        <v>59035_56</v>
      </c>
      <c r="B274">
        <f>VLOOKUP(C274,[1]lookuptable!$A$1:$C$7,2,0)</f>
        <v>59035</v>
      </c>
      <c r="C274" t="s">
        <v>9</v>
      </c>
      <c r="D274" s="1">
        <v>56</v>
      </c>
      <c r="E274">
        <v>1</v>
      </c>
      <c r="F274">
        <v>220</v>
      </c>
      <c r="G274">
        <v>221</v>
      </c>
      <c r="H274">
        <v>582</v>
      </c>
      <c r="I274" s="2">
        <v>37.972508589999997</v>
      </c>
      <c r="J274" cm="1">
        <f t="array" ref="J274">IF(AND(I274&gt;=0,I274&lt;=20),0,IF(AND(I274&gt;20,I274&lt;=40),1, IF(AND(I274&gt;40,I274&lt;=60),2,IF(AND(I274&gt;60,I274&lt;=80),3, IF(AND(I274&gt;80,I274&lt;=100),4,”5”)))))</f>
        <v>1</v>
      </c>
    </row>
    <row r="275" spans="1:10" x14ac:dyDescent="0.3">
      <c r="A275" t="str">
        <f t="shared" si="6"/>
        <v>59035_57</v>
      </c>
      <c r="B275">
        <f>VLOOKUP(C275,[1]lookuptable!$A$1:$C$7,2,0)</f>
        <v>59035</v>
      </c>
      <c r="C275" t="s">
        <v>9</v>
      </c>
      <c r="D275" s="1">
        <v>57</v>
      </c>
      <c r="E275">
        <v>5</v>
      </c>
      <c r="F275">
        <v>171</v>
      </c>
      <c r="G275">
        <v>176</v>
      </c>
      <c r="H275">
        <v>497</v>
      </c>
      <c r="I275" s="2">
        <v>35.412474850000002</v>
      </c>
      <c r="J275" cm="1">
        <f t="array" ref="J275">IF(AND(I275&gt;=0,I275&lt;=20),0,IF(AND(I275&gt;20,I275&lt;=40),1, IF(AND(I275&gt;40,I275&lt;=60),2,IF(AND(I275&gt;60,I275&lt;=80),3, IF(AND(I275&gt;80,I275&lt;=100),4,”5”)))))</f>
        <v>1</v>
      </c>
    </row>
    <row r="276" spans="1:10" x14ac:dyDescent="0.3">
      <c r="A276" t="str">
        <f t="shared" si="6"/>
        <v>59035_58</v>
      </c>
      <c r="B276">
        <f>VLOOKUP(C276,[1]lookuptable!$A$1:$C$7,2,0)</f>
        <v>59035</v>
      </c>
      <c r="C276" t="s">
        <v>9</v>
      </c>
      <c r="D276" s="1">
        <v>58</v>
      </c>
      <c r="E276">
        <v>2</v>
      </c>
      <c r="F276">
        <v>149</v>
      </c>
      <c r="G276">
        <v>151</v>
      </c>
      <c r="H276">
        <v>440</v>
      </c>
      <c r="I276" s="2">
        <v>34.31818182</v>
      </c>
      <c r="J276" cm="1">
        <f t="array" ref="J276">IF(AND(I276&gt;=0,I276&lt;=20),0,IF(AND(I276&gt;20,I276&lt;=40),1, IF(AND(I276&gt;40,I276&lt;=60),2,IF(AND(I276&gt;60,I276&lt;=80),3, IF(AND(I276&gt;80,I276&lt;=100),4,”5”)))))</f>
        <v>1</v>
      </c>
    </row>
    <row r="277" spans="1:10" x14ac:dyDescent="0.3">
      <c r="A277" t="str">
        <f t="shared" si="6"/>
        <v>59035_59</v>
      </c>
      <c r="B277">
        <f>VLOOKUP(C277,[1]lookuptable!$A$1:$C$7,2,0)</f>
        <v>59035</v>
      </c>
      <c r="C277" t="s">
        <v>9</v>
      </c>
      <c r="D277" s="1">
        <v>59</v>
      </c>
      <c r="E277">
        <v>0</v>
      </c>
      <c r="F277">
        <v>102</v>
      </c>
      <c r="G277">
        <v>102</v>
      </c>
      <c r="H277">
        <v>391</v>
      </c>
      <c r="I277" s="2">
        <v>26.086956520000001</v>
      </c>
      <c r="J277" cm="1">
        <f t="array" ref="J277">IF(AND(I277&gt;=0,I277&lt;=20),0,IF(AND(I277&gt;20,I277&lt;=40),1, IF(AND(I277&gt;40,I277&lt;=60),2,IF(AND(I277&gt;60,I277&lt;=80),3, IF(AND(I277&gt;80,I277&lt;=100),4,”5”)))))</f>
        <v>1</v>
      </c>
    </row>
    <row r="278" spans="1:10" x14ac:dyDescent="0.3">
      <c r="A278" t="str">
        <f t="shared" si="6"/>
        <v>59035_60</v>
      </c>
      <c r="B278">
        <f>VLOOKUP(C278,[1]lookuptable!$A$1:$C$7,2,0)</f>
        <v>59035</v>
      </c>
      <c r="C278" t="s">
        <v>9</v>
      </c>
      <c r="D278" s="1">
        <v>60</v>
      </c>
      <c r="E278">
        <v>2</v>
      </c>
      <c r="F278">
        <v>141</v>
      </c>
      <c r="G278">
        <v>143</v>
      </c>
      <c r="H278">
        <v>424</v>
      </c>
      <c r="I278" s="2">
        <v>33.726415090000003</v>
      </c>
      <c r="J278" cm="1">
        <f t="array" ref="J278">IF(AND(I278&gt;=0,I278&lt;=20),0,IF(AND(I278&gt;20,I278&lt;=40),1, IF(AND(I278&gt;40,I278&lt;=60),2,IF(AND(I278&gt;60,I278&lt;=80),3, IF(AND(I278&gt;80,I278&lt;=100),4,”5”)))))</f>
        <v>1</v>
      </c>
    </row>
    <row r="279" spans="1:10" x14ac:dyDescent="0.3">
      <c r="A279" t="str">
        <f t="shared" si="6"/>
        <v>59035_61</v>
      </c>
      <c r="B279">
        <f>VLOOKUP(C279,[1]lookuptable!$A$1:$C$7,2,0)</f>
        <v>59035</v>
      </c>
      <c r="C279" t="s">
        <v>9</v>
      </c>
      <c r="D279" s="1">
        <v>61</v>
      </c>
      <c r="E279">
        <v>1</v>
      </c>
      <c r="F279">
        <v>139</v>
      </c>
      <c r="G279">
        <v>140</v>
      </c>
      <c r="H279">
        <v>431</v>
      </c>
      <c r="I279" s="2">
        <v>32.482598609999997</v>
      </c>
      <c r="J279" cm="1">
        <f t="array" ref="J279">IF(AND(I279&gt;=0,I279&lt;=20),0,IF(AND(I279&gt;20,I279&lt;=40),1, IF(AND(I279&gt;40,I279&lt;=60),2,IF(AND(I279&gt;60,I279&lt;=80),3, IF(AND(I279&gt;80,I279&lt;=100),4,”5”)))))</f>
        <v>1</v>
      </c>
    </row>
    <row r="280" spans="1:10" x14ac:dyDescent="0.3">
      <c r="A280" t="str">
        <f t="shared" si="6"/>
        <v>59035_62</v>
      </c>
      <c r="B280">
        <f>VLOOKUP(C280,[1]lookuptable!$A$1:$C$7,2,0)</f>
        <v>59035</v>
      </c>
      <c r="C280" t="s">
        <v>9</v>
      </c>
      <c r="D280" s="1">
        <v>62</v>
      </c>
      <c r="E280">
        <v>3</v>
      </c>
      <c r="F280">
        <v>136</v>
      </c>
      <c r="G280">
        <v>139</v>
      </c>
      <c r="H280">
        <v>493</v>
      </c>
      <c r="I280" s="2">
        <v>28.194726169999999</v>
      </c>
      <c r="J280" cm="1">
        <f t="array" ref="J280">IF(AND(I280&gt;=0,I280&lt;=20),0,IF(AND(I280&gt;20,I280&lt;=40),1, IF(AND(I280&gt;40,I280&lt;=60),2,IF(AND(I280&gt;60,I280&lt;=80),3, IF(AND(I280&gt;80,I280&lt;=100),4,”5”)))))</f>
        <v>1</v>
      </c>
    </row>
    <row r="281" spans="1:10" x14ac:dyDescent="0.3">
      <c r="A281" t="str">
        <f t="shared" si="6"/>
        <v>59035_63</v>
      </c>
      <c r="B281">
        <f>VLOOKUP(C281,[1]lookuptable!$A$1:$C$7,2,0)</f>
        <v>59035</v>
      </c>
      <c r="C281" t="s">
        <v>9</v>
      </c>
      <c r="D281" s="1">
        <v>63</v>
      </c>
      <c r="E281">
        <v>1</v>
      </c>
      <c r="F281">
        <v>171</v>
      </c>
      <c r="G281">
        <v>172</v>
      </c>
      <c r="H281">
        <v>458</v>
      </c>
      <c r="I281" s="2">
        <v>37.554585150000001</v>
      </c>
      <c r="J281" cm="1">
        <f t="array" ref="J281">IF(AND(I281&gt;=0,I281&lt;=20),0,IF(AND(I281&gt;20,I281&lt;=40),1, IF(AND(I281&gt;40,I281&lt;=60),2,IF(AND(I281&gt;60,I281&lt;=80),3, IF(AND(I281&gt;80,I281&lt;=100),4,”5”)))))</f>
        <v>1</v>
      </c>
    </row>
    <row r="282" spans="1:10" x14ac:dyDescent="0.3">
      <c r="A282" t="str">
        <f t="shared" si="6"/>
        <v>59035_64</v>
      </c>
      <c r="B282">
        <f>VLOOKUP(C282,[1]lookuptable!$A$1:$C$7,2,0)</f>
        <v>59035</v>
      </c>
      <c r="C282" t="s">
        <v>9</v>
      </c>
      <c r="D282" s="1">
        <v>64</v>
      </c>
      <c r="E282">
        <v>0</v>
      </c>
      <c r="F282">
        <v>136</v>
      </c>
      <c r="G282">
        <v>136</v>
      </c>
      <c r="H282">
        <v>413</v>
      </c>
      <c r="I282" s="2">
        <v>32.929782080000003</v>
      </c>
      <c r="J282" cm="1">
        <f t="array" ref="J282">IF(AND(I282&gt;=0,I282&lt;=20),0,IF(AND(I282&gt;20,I282&lt;=40),1, IF(AND(I282&gt;40,I282&lt;=60),2,IF(AND(I282&gt;60,I282&lt;=80),3, IF(AND(I282&gt;80,I282&lt;=100),4,”5”)))))</f>
        <v>1</v>
      </c>
    </row>
    <row r="283" spans="1:10" x14ac:dyDescent="0.3">
      <c r="A283" t="str">
        <f t="shared" si="6"/>
        <v>59035_65</v>
      </c>
      <c r="B283">
        <f>VLOOKUP(C283,[1]lookuptable!$A$1:$C$7,2,0)</f>
        <v>59035</v>
      </c>
      <c r="C283" t="s">
        <v>9</v>
      </c>
      <c r="D283" s="1">
        <v>65</v>
      </c>
      <c r="E283">
        <v>2</v>
      </c>
      <c r="F283">
        <v>126</v>
      </c>
      <c r="G283">
        <v>128</v>
      </c>
      <c r="H283">
        <v>428</v>
      </c>
      <c r="I283" s="2">
        <v>29.90654206</v>
      </c>
      <c r="J283" cm="1">
        <f t="array" ref="J283">IF(AND(I283&gt;=0,I283&lt;=20),0,IF(AND(I283&gt;20,I283&lt;=40),1, IF(AND(I283&gt;40,I283&lt;=60),2,IF(AND(I283&gt;60,I283&lt;=80),3, IF(AND(I283&gt;80,I283&lt;=100),4,”5”)))))</f>
        <v>1</v>
      </c>
    </row>
    <row r="284" spans="1:10" x14ac:dyDescent="0.3">
      <c r="A284" t="str">
        <f t="shared" si="6"/>
        <v>59035_66</v>
      </c>
      <c r="B284">
        <f>VLOOKUP(C284,[1]lookuptable!$A$1:$C$7,2,0)</f>
        <v>59035</v>
      </c>
      <c r="C284" t="s">
        <v>9</v>
      </c>
      <c r="D284" s="1">
        <v>66</v>
      </c>
      <c r="E284">
        <v>2</v>
      </c>
      <c r="F284">
        <v>150</v>
      </c>
      <c r="G284">
        <v>152</v>
      </c>
      <c r="H284">
        <v>431</v>
      </c>
      <c r="I284" s="2">
        <v>35.266821350000001</v>
      </c>
      <c r="J284" cm="1">
        <f t="array" ref="J284">IF(AND(I284&gt;=0,I284&lt;=20),0,IF(AND(I284&gt;20,I284&lt;=40),1, IF(AND(I284&gt;40,I284&lt;=60),2,IF(AND(I284&gt;60,I284&lt;=80),3, IF(AND(I284&gt;80,I284&lt;=100),4,”5”)))))</f>
        <v>1</v>
      </c>
    </row>
    <row r="285" spans="1:10" x14ac:dyDescent="0.3">
      <c r="A285" t="str">
        <f t="shared" si="6"/>
        <v>59035_67</v>
      </c>
      <c r="B285">
        <f>VLOOKUP(C285,[1]lookuptable!$A$1:$C$7,2,0)</f>
        <v>59035</v>
      </c>
      <c r="C285" t="s">
        <v>9</v>
      </c>
      <c r="D285" s="1">
        <v>67</v>
      </c>
      <c r="E285">
        <v>0</v>
      </c>
      <c r="F285">
        <v>149</v>
      </c>
      <c r="G285">
        <v>149</v>
      </c>
      <c r="H285">
        <v>527</v>
      </c>
      <c r="I285" s="2">
        <v>28.273244779999999</v>
      </c>
      <c r="J285" cm="1">
        <f t="array" ref="J285">IF(AND(I285&gt;=0,I285&lt;=20),0,IF(AND(I285&gt;20,I285&lt;=40),1, IF(AND(I285&gt;40,I285&lt;=60),2,IF(AND(I285&gt;60,I285&lt;=80),3, IF(AND(I285&gt;80,I285&lt;=100),4,”5”)))))</f>
        <v>1</v>
      </c>
    </row>
    <row r="286" spans="1:10" x14ac:dyDescent="0.3">
      <c r="A286" t="str">
        <f t="shared" si="6"/>
        <v>59035_68</v>
      </c>
      <c r="B286">
        <f>VLOOKUP(C286,[1]lookuptable!$A$1:$C$7,2,0)</f>
        <v>59035</v>
      </c>
      <c r="C286" t="s">
        <v>9</v>
      </c>
      <c r="D286" s="1">
        <v>68</v>
      </c>
      <c r="E286">
        <v>1</v>
      </c>
      <c r="F286">
        <v>98</v>
      </c>
      <c r="G286">
        <v>99</v>
      </c>
      <c r="H286">
        <v>403</v>
      </c>
      <c r="I286" s="2">
        <v>24.565756820000001</v>
      </c>
      <c r="J286" cm="1">
        <f t="array" ref="J286">IF(AND(I286&gt;=0,I286&lt;=20),0,IF(AND(I286&gt;20,I286&lt;=40),1, IF(AND(I286&gt;40,I286&lt;=60),2,IF(AND(I286&gt;60,I286&lt;=80),3, IF(AND(I286&gt;80,I286&lt;=100),4,”5”)))))</f>
        <v>1</v>
      </c>
    </row>
    <row r="287" spans="1:10" x14ac:dyDescent="0.3">
      <c r="A287" t="str">
        <f t="shared" si="6"/>
        <v>59035_69</v>
      </c>
      <c r="B287">
        <f>VLOOKUP(C287,[1]lookuptable!$A$1:$C$7,2,0)</f>
        <v>59035</v>
      </c>
      <c r="C287" t="s">
        <v>9</v>
      </c>
      <c r="D287" s="1">
        <v>69</v>
      </c>
      <c r="E287">
        <v>1</v>
      </c>
      <c r="F287">
        <v>145</v>
      </c>
      <c r="G287">
        <v>146</v>
      </c>
      <c r="H287">
        <v>380</v>
      </c>
      <c r="I287" s="2">
        <v>38.421052629999998</v>
      </c>
      <c r="J287" cm="1">
        <f t="array" ref="J287">IF(AND(I287&gt;=0,I287&lt;=20),0,IF(AND(I287&gt;20,I287&lt;=40),1, IF(AND(I287&gt;40,I287&lt;=60),2,IF(AND(I287&gt;60,I287&lt;=80),3, IF(AND(I287&gt;80,I287&lt;=100),4,”5”)))))</f>
        <v>1</v>
      </c>
    </row>
    <row r="288" spans="1:10" x14ac:dyDescent="0.3">
      <c r="A288" t="str">
        <f t="shared" si="6"/>
        <v>59035_70</v>
      </c>
      <c r="B288">
        <f>VLOOKUP(C288,[1]lookuptable!$A$1:$C$7,2,0)</f>
        <v>59035</v>
      </c>
      <c r="C288" t="s">
        <v>9</v>
      </c>
      <c r="D288" s="1">
        <v>70</v>
      </c>
      <c r="E288">
        <v>0</v>
      </c>
      <c r="F288">
        <v>257</v>
      </c>
      <c r="G288">
        <v>257</v>
      </c>
      <c r="H288">
        <v>581</v>
      </c>
      <c r="I288" s="2">
        <v>44.234079170000001</v>
      </c>
      <c r="J288" cm="1">
        <f t="array" ref="J288">IF(AND(I288&gt;=0,I288&lt;=20),0,IF(AND(I288&gt;20,I288&lt;=40),1, IF(AND(I288&gt;40,I288&lt;=60),2,IF(AND(I288&gt;60,I288&lt;=80),3, IF(AND(I288&gt;80,I288&lt;=100),4,”5”)))))</f>
        <v>2</v>
      </c>
    </row>
    <row r="289" spans="1:10" x14ac:dyDescent="0.3">
      <c r="A289" t="str">
        <f t="shared" si="6"/>
        <v>59035_71</v>
      </c>
      <c r="B289">
        <f>VLOOKUP(C289,[1]lookuptable!$A$1:$C$7,2,0)</f>
        <v>59035</v>
      </c>
      <c r="C289" t="s">
        <v>9</v>
      </c>
      <c r="D289" s="1">
        <v>71</v>
      </c>
      <c r="E289">
        <v>1</v>
      </c>
      <c r="F289">
        <v>160</v>
      </c>
      <c r="G289">
        <v>161</v>
      </c>
      <c r="H289">
        <v>405</v>
      </c>
      <c r="I289" s="2">
        <v>39.753086420000002</v>
      </c>
      <c r="J289" cm="1">
        <f t="array" ref="J289">IF(AND(I289&gt;=0,I289&lt;=20),0,IF(AND(I289&gt;20,I289&lt;=40),1, IF(AND(I289&gt;40,I289&lt;=60),2,IF(AND(I289&gt;60,I289&lt;=80),3, IF(AND(I289&gt;80,I289&lt;=100),4,”5”)))))</f>
        <v>1</v>
      </c>
    </row>
    <row r="290" spans="1:10" x14ac:dyDescent="0.3">
      <c r="A290" t="str">
        <f t="shared" si="6"/>
        <v>59035_72</v>
      </c>
      <c r="B290">
        <f>VLOOKUP(C290,[1]lookuptable!$A$1:$C$7,2,0)</f>
        <v>59035</v>
      </c>
      <c r="C290" t="s">
        <v>9</v>
      </c>
      <c r="D290" s="1">
        <v>72</v>
      </c>
      <c r="E290">
        <v>1</v>
      </c>
      <c r="F290">
        <v>152</v>
      </c>
      <c r="G290">
        <v>153</v>
      </c>
      <c r="H290">
        <v>480</v>
      </c>
      <c r="I290" s="2">
        <v>31.875</v>
      </c>
      <c r="J290" cm="1">
        <f t="array" ref="J290">IF(AND(I290&gt;=0,I290&lt;=20),0,IF(AND(I290&gt;20,I290&lt;=40),1, IF(AND(I290&gt;40,I290&lt;=60),2,IF(AND(I290&gt;60,I290&lt;=80),3, IF(AND(I290&gt;80,I290&lt;=100),4,”5”)))))</f>
        <v>1</v>
      </c>
    </row>
    <row r="291" spans="1:10" x14ac:dyDescent="0.3">
      <c r="A291" t="str">
        <f t="shared" si="6"/>
        <v>59035_73</v>
      </c>
      <c r="B291">
        <f>VLOOKUP(C291,[1]lookuptable!$A$1:$C$7,2,0)</f>
        <v>59035</v>
      </c>
      <c r="C291" t="s">
        <v>9</v>
      </c>
      <c r="D291" s="1">
        <v>73</v>
      </c>
      <c r="E291">
        <v>2</v>
      </c>
      <c r="F291">
        <v>260</v>
      </c>
      <c r="G291">
        <v>262</v>
      </c>
      <c r="H291">
        <v>569</v>
      </c>
      <c r="I291" s="2">
        <v>46.0456942</v>
      </c>
      <c r="J291" cm="1">
        <f t="array" ref="J291">IF(AND(I291&gt;=0,I291&lt;=20),0,IF(AND(I291&gt;20,I291&lt;=40),1, IF(AND(I291&gt;40,I291&lt;=60),2,IF(AND(I291&gt;60,I291&lt;=80),3, IF(AND(I291&gt;80,I291&lt;=100),4,”5”)))))</f>
        <v>2</v>
      </c>
    </row>
    <row r="292" spans="1:10" x14ac:dyDescent="0.3">
      <c r="A292" t="str">
        <f t="shared" si="6"/>
        <v>59035_74</v>
      </c>
      <c r="B292">
        <f>VLOOKUP(C292,[1]lookuptable!$A$1:$C$7,2,0)</f>
        <v>59035</v>
      </c>
      <c r="C292" t="s">
        <v>9</v>
      </c>
      <c r="D292" s="1">
        <v>74</v>
      </c>
      <c r="E292">
        <v>2</v>
      </c>
      <c r="F292">
        <v>273</v>
      </c>
      <c r="G292">
        <v>275</v>
      </c>
      <c r="H292">
        <v>557</v>
      </c>
      <c r="I292" s="2">
        <v>49.371633750000001</v>
      </c>
      <c r="J292" cm="1">
        <f t="array" ref="J292">IF(AND(I292&gt;=0,I292&lt;=20),0,IF(AND(I292&gt;20,I292&lt;=40),1, IF(AND(I292&gt;40,I292&lt;=60),2,IF(AND(I292&gt;60,I292&lt;=80),3, IF(AND(I292&gt;80,I292&lt;=100),4,”5”)))))</f>
        <v>2</v>
      </c>
    </row>
    <row r="293" spans="1:10" x14ac:dyDescent="0.3">
      <c r="A293" t="str">
        <f t="shared" si="6"/>
        <v>59035_75</v>
      </c>
      <c r="B293">
        <f>VLOOKUP(C293,[1]lookuptable!$A$1:$C$7,2,0)</f>
        <v>59035</v>
      </c>
      <c r="C293" t="s">
        <v>9</v>
      </c>
      <c r="D293" s="1">
        <v>75</v>
      </c>
      <c r="E293">
        <v>1</v>
      </c>
      <c r="F293">
        <v>140</v>
      </c>
      <c r="G293">
        <v>141</v>
      </c>
      <c r="H293">
        <v>488</v>
      </c>
      <c r="I293" s="2">
        <v>28.893442619999998</v>
      </c>
      <c r="J293" cm="1">
        <f t="array" ref="J293">IF(AND(I293&gt;=0,I293&lt;=20),0,IF(AND(I293&gt;20,I293&lt;=40),1, IF(AND(I293&gt;40,I293&lt;=60),2,IF(AND(I293&gt;60,I293&lt;=80),3, IF(AND(I293&gt;80,I293&lt;=100),4,”5”)))))</f>
        <v>1</v>
      </c>
    </row>
    <row r="294" spans="1:10" x14ac:dyDescent="0.3">
      <c r="A294" t="str">
        <f t="shared" si="6"/>
        <v>59035_76</v>
      </c>
      <c r="B294">
        <f>VLOOKUP(C294,[1]lookuptable!$A$1:$C$7,2,0)</f>
        <v>59035</v>
      </c>
      <c r="C294" t="s">
        <v>9</v>
      </c>
      <c r="D294" s="1">
        <v>76</v>
      </c>
      <c r="E294">
        <v>4</v>
      </c>
      <c r="F294">
        <v>219</v>
      </c>
      <c r="G294">
        <v>223</v>
      </c>
      <c r="H294">
        <v>634</v>
      </c>
      <c r="I294" s="2">
        <v>35.17350158</v>
      </c>
      <c r="J294" cm="1">
        <f t="array" ref="J294">IF(AND(I294&gt;=0,I294&lt;=20),0,IF(AND(I294&gt;20,I294&lt;=40),1, IF(AND(I294&gt;40,I294&lt;=60),2,IF(AND(I294&gt;60,I294&lt;=80),3, IF(AND(I294&gt;80,I294&lt;=100),4,”5”)))))</f>
        <v>1</v>
      </c>
    </row>
    <row r="295" spans="1:10" x14ac:dyDescent="0.3">
      <c r="A295" t="str">
        <f t="shared" si="6"/>
        <v>59035_77</v>
      </c>
      <c r="B295">
        <f>VLOOKUP(C295,[1]lookuptable!$A$1:$C$7,2,0)</f>
        <v>59035</v>
      </c>
      <c r="C295" t="s">
        <v>9</v>
      </c>
      <c r="D295" s="1">
        <v>77</v>
      </c>
      <c r="E295">
        <v>0</v>
      </c>
      <c r="F295">
        <v>159</v>
      </c>
      <c r="G295">
        <v>159</v>
      </c>
      <c r="H295">
        <v>504</v>
      </c>
      <c r="I295" s="2">
        <v>31.547619050000002</v>
      </c>
      <c r="J295" cm="1">
        <f t="array" ref="J295">IF(AND(I295&gt;=0,I295&lt;=20),0,IF(AND(I295&gt;20,I295&lt;=40),1, IF(AND(I295&gt;40,I295&lt;=60),2,IF(AND(I295&gt;60,I295&lt;=80),3, IF(AND(I295&gt;80,I295&lt;=100),4,”5”)))))</f>
        <v>1</v>
      </c>
    </row>
    <row r="296" spans="1:10" x14ac:dyDescent="0.3">
      <c r="A296" t="str">
        <f t="shared" si="6"/>
        <v>59035_78</v>
      </c>
      <c r="B296">
        <f>VLOOKUP(C296,[1]lookuptable!$A$1:$C$7,2,0)</f>
        <v>59035</v>
      </c>
      <c r="C296" t="s">
        <v>9</v>
      </c>
      <c r="D296" s="1">
        <v>78</v>
      </c>
      <c r="E296">
        <v>0</v>
      </c>
      <c r="F296">
        <v>206</v>
      </c>
      <c r="G296">
        <v>206</v>
      </c>
      <c r="H296">
        <v>446</v>
      </c>
      <c r="I296" s="2">
        <v>46.18834081</v>
      </c>
      <c r="J296" cm="1">
        <f t="array" ref="J296">IF(AND(I296&gt;=0,I296&lt;=20),0,IF(AND(I296&gt;20,I296&lt;=40),1, IF(AND(I296&gt;40,I296&lt;=60),2,IF(AND(I296&gt;60,I296&lt;=80),3, IF(AND(I296&gt;80,I296&lt;=100),4,”5”)))))</f>
        <v>2</v>
      </c>
    </row>
    <row r="297" spans="1:10" x14ac:dyDescent="0.3">
      <c r="A297" t="str">
        <f t="shared" si="6"/>
        <v>59035_79</v>
      </c>
      <c r="B297">
        <f>VLOOKUP(C297,[1]lookuptable!$A$1:$C$7,2,0)</f>
        <v>59035</v>
      </c>
      <c r="C297" t="s">
        <v>9</v>
      </c>
      <c r="D297" s="1">
        <v>79</v>
      </c>
      <c r="E297">
        <v>1</v>
      </c>
      <c r="F297">
        <v>150</v>
      </c>
      <c r="G297">
        <v>151</v>
      </c>
      <c r="H297">
        <v>360</v>
      </c>
      <c r="I297" s="2">
        <v>41.944444439999998</v>
      </c>
      <c r="J297" cm="1">
        <f t="array" ref="J297">IF(AND(I297&gt;=0,I297&lt;=20),0,IF(AND(I297&gt;20,I297&lt;=40),1, IF(AND(I297&gt;40,I297&lt;=60),2,IF(AND(I297&gt;60,I297&lt;=80),3, IF(AND(I297&gt;80,I297&lt;=100),4,”5”)))))</f>
        <v>2</v>
      </c>
    </row>
    <row r="298" spans="1:10" x14ac:dyDescent="0.3">
      <c r="A298" t="str">
        <f t="shared" si="6"/>
        <v>59035_80</v>
      </c>
      <c r="B298">
        <f>VLOOKUP(C298,[1]lookuptable!$A$1:$C$7,2,0)</f>
        <v>59035</v>
      </c>
      <c r="C298" t="s">
        <v>9</v>
      </c>
      <c r="D298" s="1">
        <v>80</v>
      </c>
      <c r="E298">
        <v>1</v>
      </c>
      <c r="F298">
        <v>187</v>
      </c>
      <c r="G298">
        <v>188</v>
      </c>
      <c r="H298">
        <v>400</v>
      </c>
      <c r="I298" s="2">
        <v>47</v>
      </c>
      <c r="J298" cm="1">
        <f t="array" ref="J298">IF(AND(I298&gt;=0,I298&lt;=20),0,IF(AND(I298&gt;20,I298&lt;=40),1, IF(AND(I298&gt;40,I298&lt;=60),2,IF(AND(I298&gt;60,I298&lt;=80),3, IF(AND(I298&gt;80,I298&lt;=100),4,”5”)))))</f>
        <v>2</v>
      </c>
    </row>
    <row r="299" spans="1:10" x14ac:dyDescent="0.3">
      <c r="A299" t="str">
        <f t="shared" si="6"/>
        <v>59035_81</v>
      </c>
      <c r="B299">
        <f>VLOOKUP(C299,[1]lookuptable!$A$1:$C$7,2,0)</f>
        <v>59035</v>
      </c>
      <c r="C299" t="s">
        <v>9</v>
      </c>
      <c r="D299" s="1">
        <v>81</v>
      </c>
      <c r="E299">
        <v>2</v>
      </c>
      <c r="F299">
        <v>183</v>
      </c>
      <c r="G299">
        <v>185</v>
      </c>
      <c r="H299">
        <v>394</v>
      </c>
      <c r="I299" s="2">
        <v>46.954314719999999</v>
      </c>
      <c r="J299" cm="1">
        <f t="array" ref="J299">IF(AND(I299&gt;=0,I299&lt;=20),0,IF(AND(I299&gt;20,I299&lt;=40),1, IF(AND(I299&gt;40,I299&lt;=60),2,IF(AND(I299&gt;60,I299&lt;=80),3, IF(AND(I299&gt;80,I299&lt;=100),4,”5”)))))</f>
        <v>2</v>
      </c>
    </row>
    <row r="300" spans="1:10" x14ac:dyDescent="0.3">
      <c r="A300" t="str">
        <f t="shared" si="6"/>
        <v>59035_82</v>
      </c>
      <c r="B300">
        <f>VLOOKUP(C300,[1]lookuptable!$A$1:$C$7,2,0)</f>
        <v>59035</v>
      </c>
      <c r="C300" t="s">
        <v>9</v>
      </c>
      <c r="D300" s="1">
        <v>82</v>
      </c>
      <c r="E300">
        <v>0</v>
      </c>
      <c r="F300">
        <v>128</v>
      </c>
      <c r="G300">
        <v>128</v>
      </c>
      <c r="H300">
        <v>407</v>
      </c>
      <c r="I300" s="2">
        <v>31.449631449999998</v>
      </c>
      <c r="J300" cm="1">
        <f t="array" ref="J300">IF(AND(I300&gt;=0,I300&lt;=20),0,IF(AND(I300&gt;20,I300&lt;=40),1, IF(AND(I300&gt;40,I300&lt;=60),2,IF(AND(I300&gt;60,I300&lt;=80),3, IF(AND(I300&gt;80,I300&lt;=100),4,”5”)))))</f>
        <v>1</v>
      </c>
    </row>
    <row r="301" spans="1:10" x14ac:dyDescent="0.3">
      <c r="A301" t="str">
        <f t="shared" si="6"/>
        <v>59035_83</v>
      </c>
      <c r="B301">
        <f>VLOOKUP(C301,[1]lookuptable!$A$1:$C$7,2,0)</f>
        <v>59035</v>
      </c>
      <c r="C301" t="s">
        <v>9</v>
      </c>
      <c r="D301" s="1">
        <v>83</v>
      </c>
      <c r="E301">
        <v>1</v>
      </c>
      <c r="F301">
        <v>173</v>
      </c>
      <c r="G301">
        <v>174</v>
      </c>
      <c r="H301">
        <v>348</v>
      </c>
      <c r="I301" s="2">
        <v>50</v>
      </c>
      <c r="J301" cm="1">
        <f t="array" ref="J301">IF(AND(I301&gt;=0,I301&lt;=20),0,IF(AND(I301&gt;20,I301&lt;=40),1, IF(AND(I301&gt;40,I301&lt;=60),2,IF(AND(I301&gt;60,I301&lt;=80),3, IF(AND(I301&gt;80,I301&lt;=100),4,”5”)))))</f>
        <v>2</v>
      </c>
    </row>
    <row r="302" spans="1:10" x14ac:dyDescent="0.3">
      <c r="A302" t="str">
        <f t="shared" si="6"/>
        <v>59035_84</v>
      </c>
      <c r="B302">
        <f>VLOOKUP(C302,[1]lookuptable!$A$1:$C$7,2,0)</f>
        <v>59035</v>
      </c>
      <c r="C302" t="s">
        <v>9</v>
      </c>
      <c r="D302" s="1">
        <v>84</v>
      </c>
      <c r="E302">
        <v>0</v>
      </c>
      <c r="F302">
        <v>160</v>
      </c>
      <c r="G302">
        <v>160</v>
      </c>
      <c r="H302">
        <v>475</v>
      </c>
      <c r="I302" s="2">
        <v>33.684210530000001</v>
      </c>
      <c r="J302" cm="1">
        <f t="array" ref="J302">IF(AND(I302&gt;=0,I302&lt;=20),0,IF(AND(I302&gt;20,I302&lt;=40),1, IF(AND(I302&gt;40,I302&lt;=60),2,IF(AND(I302&gt;60,I302&lt;=80),3, IF(AND(I302&gt;80,I302&lt;=100),4,”5”)))))</f>
        <v>1</v>
      </c>
    </row>
    <row r="303" spans="1:10" x14ac:dyDescent="0.3">
      <c r="A303" t="str">
        <f t="shared" si="6"/>
        <v>59035_85</v>
      </c>
      <c r="B303">
        <f>VLOOKUP(C303,[1]lookuptable!$A$1:$C$7,2,0)</f>
        <v>59035</v>
      </c>
      <c r="C303" t="s">
        <v>9</v>
      </c>
      <c r="D303" s="1">
        <v>85</v>
      </c>
      <c r="E303">
        <v>0</v>
      </c>
      <c r="F303">
        <v>176</v>
      </c>
      <c r="G303">
        <v>176</v>
      </c>
      <c r="H303">
        <v>398</v>
      </c>
      <c r="I303" s="2">
        <v>44.221105530000003</v>
      </c>
      <c r="J303" cm="1">
        <f t="array" ref="J303">IF(AND(I303&gt;=0,I303&lt;=20),0,IF(AND(I303&gt;20,I303&lt;=40),1, IF(AND(I303&gt;40,I303&lt;=60),2,IF(AND(I303&gt;60,I303&lt;=80),3, IF(AND(I303&gt;80,I303&lt;=100),4,”5”)))))</f>
        <v>2</v>
      </c>
    </row>
    <row r="304" spans="1:10" x14ac:dyDescent="0.3">
      <c r="A304" t="str">
        <f t="shared" si="6"/>
        <v>59035_86</v>
      </c>
      <c r="B304">
        <f>VLOOKUP(C304,[1]lookuptable!$A$1:$C$7,2,0)</f>
        <v>59035</v>
      </c>
      <c r="C304" t="s">
        <v>9</v>
      </c>
      <c r="D304" s="1">
        <v>86</v>
      </c>
      <c r="E304">
        <v>1</v>
      </c>
      <c r="F304">
        <v>123</v>
      </c>
      <c r="G304">
        <v>124</v>
      </c>
      <c r="H304">
        <v>336</v>
      </c>
      <c r="I304" s="2">
        <v>36.904761899999997</v>
      </c>
      <c r="J304" cm="1">
        <f t="array" ref="J304">IF(AND(I304&gt;=0,I304&lt;=20),0,IF(AND(I304&gt;20,I304&lt;=40),1, IF(AND(I304&gt;40,I304&lt;=60),2,IF(AND(I304&gt;60,I304&lt;=80),3, IF(AND(I304&gt;80,I304&lt;=100),4,”5”)))))</f>
        <v>1</v>
      </c>
    </row>
    <row r="305" spans="1:10" x14ac:dyDescent="0.3">
      <c r="A305" t="str">
        <f t="shared" si="6"/>
        <v>59035_87</v>
      </c>
      <c r="B305">
        <f>VLOOKUP(C305,[1]lookuptable!$A$1:$C$7,2,0)</f>
        <v>59035</v>
      </c>
      <c r="C305" t="s">
        <v>9</v>
      </c>
      <c r="D305" s="1">
        <v>87</v>
      </c>
      <c r="E305">
        <v>0</v>
      </c>
      <c r="F305">
        <v>184</v>
      </c>
      <c r="G305">
        <v>184</v>
      </c>
      <c r="H305">
        <v>429</v>
      </c>
      <c r="I305" s="2">
        <v>42.890442890000003</v>
      </c>
      <c r="J305" cm="1">
        <f t="array" ref="J305">IF(AND(I305&gt;=0,I305&lt;=20),0,IF(AND(I305&gt;20,I305&lt;=40),1, IF(AND(I305&gt;40,I305&lt;=60),2,IF(AND(I305&gt;60,I305&lt;=80),3, IF(AND(I305&gt;80,I305&lt;=100),4,”5”)))))</f>
        <v>2</v>
      </c>
    </row>
    <row r="306" spans="1:10" x14ac:dyDescent="0.3">
      <c r="A306" t="str">
        <f t="shared" si="6"/>
        <v>59035_88</v>
      </c>
      <c r="B306">
        <f>VLOOKUP(C306,[1]lookuptable!$A$1:$C$7,2,0)</f>
        <v>59035</v>
      </c>
      <c r="C306" t="s">
        <v>9</v>
      </c>
      <c r="D306" s="1">
        <v>88</v>
      </c>
      <c r="E306">
        <v>2</v>
      </c>
      <c r="F306">
        <v>180</v>
      </c>
      <c r="G306">
        <v>182</v>
      </c>
      <c r="H306">
        <v>360</v>
      </c>
      <c r="I306" s="2">
        <v>50.555555560000002</v>
      </c>
      <c r="J306" cm="1">
        <f t="array" ref="J306">IF(AND(I306&gt;=0,I306&lt;=20),0,IF(AND(I306&gt;20,I306&lt;=40),1, IF(AND(I306&gt;40,I306&lt;=60),2,IF(AND(I306&gt;60,I306&lt;=80),3, IF(AND(I306&gt;80,I306&lt;=100),4,”5”)))))</f>
        <v>2</v>
      </c>
    </row>
    <row r="307" spans="1:10" x14ac:dyDescent="0.3">
      <c r="A307" t="str">
        <f t="shared" si="6"/>
        <v>59035_89</v>
      </c>
      <c r="B307">
        <f>VLOOKUP(C307,[1]lookuptable!$A$1:$C$7,2,0)</f>
        <v>59035</v>
      </c>
      <c r="C307" t="s">
        <v>9</v>
      </c>
      <c r="D307" s="1">
        <v>89</v>
      </c>
      <c r="E307">
        <v>0</v>
      </c>
      <c r="F307">
        <v>145</v>
      </c>
      <c r="G307">
        <v>145</v>
      </c>
      <c r="H307">
        <v>410</v>
      </c>
      <c r="I307" s="2">
        <v>35.365853659999999</v>
      </c>
      <c r="J307" cm="1">
        <f t="array" ref="J307">IF(AND(I307&gt;=0,I307&lt;=20),0,IF(AND(I307&gt;20,I307&lt;=40),1, IF(AND(I307&gt;40,I307&lt;=60),2,IF(AND(I307&gt;60,I307&lt;=80),3, IF(AND(I307&gt;80,I307&lt;=100),4,”5”)))))</f>
        <v>1</v>
      </c>
    </row>
    <row r="308" spans="1:10" x14ac:dyDescent="0.3">
      <c r="A308" t="str">
        <f t="shared" si="6"/>
        <v>59035_90</v>
      </c>
      <c r="B308">
        <f>VLOOKUP(C308,[1]lookuptable!$A$1:$C$7,2,0)</f>
        <v>59035</v>
      </c>
      <c r="C308" t="s">
        <v>9</v>
      </c>
      <c r="D308" s="1">
        <v>90</v>
      </c>
      <c r="E308">
        <v>1</v>
      </c>
      <c r="F308">
        <v>137</v>
      </c>
      <c r="G308">
        <v>138</v>
      </c>
      <c r="H308">
        <v>395</v>
      </c>
      <c r="I308" s="2">
        <v>34.936708860000003</v>
      </c>
      <c r="J308" cm="1">
        <f t="array" ref="J308">IF(AND(I308&gt;=0,I308&lt;=20),0,IF(AND(I308&gt;20,I308&lt;=40),1, IF(AND(I308&gt;40,I308&lt;=60),2,IF(AND(I308&gt;60,I308&lt;=80),3, IF(AND(I308&gt;80,I308&lt;=100),4,”5”)))))</f>
        <v>1</v>
      </c>
    </row>
    <row r="309" spans="1:10" x14ac:dyDescent="0.3">
      <c r="A309" t="str">
        <f t="shared" si="6"/>
        <v>59035_91</v>
      </c>
      <c r="B309">
        <f>VLOOKUP(C309,[1]lookuptable!$A$1:$C$7,2,0)</f>
        <v>59035</v>
      </c>
      <c r="C309" t="s">
        <v>9</v>
      </c>
      <c r="D309" s="1">
        <v>91</v>
      </c>
      <c r="E309">
        <v>0</v>
      </c>
      <c r="F309">
        <v>118</v>
      </c>
      <c r="G309">
        <v>118</v>
      </c>
      <c r="H309">
        <v>375</v>
      </c>
      <c r="I309" s="2">
        <v>31.466666669999999</v>
      </c>
      <c r="J309" cm="1">
        <f t="array" ref="J309">IF(AND(I309&gt;=0,I309&lt;=20),0,IF(AND(I309&gt;20,I309&lt;=40),1, IF(AND(I309&gt;40,I309&lt;=60),2,IF(AND(I309&gt;60,I309&lt;=80),3, IF(AND(I309&gt;80,I309&lt;=100),4,”5”)))))</f>
        <v>1</v>
      </c>
    </row>
    <row r="310" spans="1:10" x14ac:dyDescent="0.3">
      <c r="A310" t="str">
        <f t="shared" si="6"/>
        <v>59035_92</v>
      </c>
      <c r="B310">
        <f>VLOOKUP(C310,[1]lookuptable!$A$1:$C$7,2,0)</f>
        <v>59035</v>
      </c>
      <c r="C310" t="s">
        <v>9</v>
      </c>
      <c r="D310" s="1">
        <v>92</v>
      </c>
      <c r="E310">
        <v>0</v>
      </c>
      <c r="F310">
        <v>162</v>
      </c>
      <c r="G310">
        <v>162</v>
      </c>
      <c r="H310">
        <v>432</v>
      </c>
      <c r="I310" s="2">
        <v>37.5</v>
      </c>
      <c r="J310" cm="1">
        <f t="array" ref="J310">IF(AND(I310&gt;=0,I310&lt;=20),0,IF(AND(I310&gt;20,I310&lt;=40),1, IF(AND(I310&gt;40,I310&lt;=60),2,IF(AND(I310&gt;60,I310&lt;=80),3, IF(AND(I310&gt;80,I310&lt;=100),4,”5”)))))</f>
        <v>1</v>
      </c>
    </row>
    <row r="311" spans="1:10" x14ac:dyDescent="0.3">
      <c r="A311" t="str">
        <f t="shared" si="6"/>
        <v>59035_93</v>
      </c>
      <c r="B311">
        <f>VLOOKUP(C311,[1]lookuptable!$A$1:$C$7,2,0)</f>
        <v>59035</v>
      </c>
      <c r="C311" t="s">
        <v>9</v>
      </c>
      <c r="D311" s="1">
        <v>93</v>
      </c>
      <c r="E311">
        <v>0</v>
      </c>
      <c r="F311">
        <v>239</v>
      </c>
      <c r="G311">
        <v>239</v>
      </c>
      <c r="H311">
        <v>700</v>
      </c>
      <c r="I311" s="2">
        <v>34.142857139999997</v>
      </c>
      <c r="J311" cm="1">
        <f t="array" ref="J311">IF(AND(I311&gt;=0,I311&lt;=20),0,IF(AND(I311&gt;20,I311&lt;=40),1, IF(AND(I311&gt;40,I311&lt;=60),2,IF(AND(I311&gt;60,I311&lt;=80),3, IF(AND(I311&gt;80,I311&lt;=100),4,”5”)))))</f>
        <v>1</v>
      </c>
    </row>
    <row r="312" spans="1:10" x14ac:dyDescent="0.3">
      <c r="A312" t="str">
        <f t="shared" si="6"/>
        <v>59035_94</v>
      </c>
      <c r="B312">
        <f>VLOOKUP(C312,[1]lookuptable!$A$1:$C$7,2,0)</f>
        <v>59035</v>
      </c>
      <c r="C312" t="s">
        <v>9</v>
      </c>
      <c r="D312" s="1">
        <v>94</v>
      </c>
      <c r="E312">
        <v>2</v>
      </c>
      <c r="F312">
        <v>204</v>
      </c>
      <c r="G312">
        <v>206</v>
      </c>
      <c r="H312">
        <v>468</v>
      </c>
      <c r="I312" s="2">
        <v>44.017094020000002</v>
      </c>
      <c r="J312" cm="1">
        <f t="array" ref="J312">IF(AND(I312&gt;=0,I312&lt;=20),0,IF(AND(I312&gt;20,I312&lt;=40),1, IF(AND(I312&gt;40,I312&lt;=60),2,IF(AND(I312&gt;60,I312&lt;=80),3, IF(AND(I312&gt;80,I312&lt;=100),4,”5”)))))</f>
        <v>2</v>
      </c>
    </row>
    <row r="313" spans="1:10" x14ac:dyDescent="0.3">
      <c r="A313" t="str">
        <f t="shared" si="6"/>
        <v>59035_95</v>
      </c>
      <c r="B313">
        <f>VLOOKUP(C313,[1]lookuptable!$A$1:$C$7,2,0)</f>
        <v>59035</v>
      </c>
      <c r="C313" t="s">
        <v>9</v>
      </c>
      <c r="D313" s="1">
        <v>95</v>
      </c>
      <c r="E313">
        <v>0</v>
      </c>
      <c r="F313">
        <v>138</v>
      </c>
      <c r="G313">
        <v>138</v>
      </c>
      <c r="H313">
        <v>332</v>
      </c>
      <c r="I313" s="2">
        <v>41.566265059999999</v>
      </c>
      <c r="J313" cm="1">
        <f t="array" ref="J313">IF(AND(I313&gt;=0,I313&lt;=20),0,IF(AND(I313&gt;20,I313&lt;=40),1, IF(AND(I313&gt;40,I313&lt;=60),2,IF(AND(I313&gt;60,I313&lt;=80),3, IF(AND(I313&gt;80,I313&lt;=100),4,”5”)))))</f>
        <v>2</v>
      </c>
    </row>
    <row r="314" spans="1:10" x14ac:dyDescent="0.3">
      <c r="A314" t="str">
        <f t="shared" si="6"/>
        <v>59035_96</v>
      </c>
      <c r="B314">
        <f>VLOOKUP(C314,[1]lookuptable!$A$1:$C$7,2,0)</f>
        <v>59035</v>
      </c>
      <c r="C314" t="s">
        <v>9</v>
      </c>
      <c r="D314" s="1">
        <v>96</v>
      </c>
      <c r="E314">
        <v>0</v>
      </c>
      <c r="F314">
        <v>182</v>
      </c>
      <c r="G314">
        <v>182</v>
      </c>
      <c r="H314">
        <v>455</v>
      </c>
      <c r="I314" s="2">
        <v>40</v>
      </c>
      <c r="J314" cm="1">
        <f t="array" ref="J314">IF(AND(I314&gt;=0,I314&lt;=20),0,IF(AND(I314&gt;20,I314&lt;=40),1, IF(AND(I314&gt;40,I314&lt;=60),2,IF(AND(I314&gt;60,I314&lt;=80),3, IF(AND(I314&gt;80,I314&lt;=100),4,”5”)))))</f>
        <v>1</v>
      </c>
    </row>
    <row r="315" spans="1:10" x14ac:dyDescent="0.3">
      <c r="A315" t="str">
        <f t="shared" si="6"/>
        <v>59035_97</v>
      </c>
      <c r="B315">
        <f>VLOOKUP(C315,[1]lookuptable!$A$1:$C$7,2,0)</f>
        <v>59035</v>
      </c>
      <c r="C315" t="s">
        <v>9</v>
      </c>
      <c r="D315" s="1">
        <v>97</v>
      </c>
      <c r="E315">
        <v>0</v>
      </c>
      <c r="F315">
        <v>76</v>
      </c>
      <c r="G315">
        <v>76</v>
      </c>
      <c r="H315">
        <v>171</v>
      </c>
      <c r="I315" s="2">
        <v>44.444444439999998</v>
      </c>
      <c r="J315" cm="1">
        <f t="array" ref="J315">IF(AND(I315&gt;=0,I315&lt;=20),0,IF(AND(I315&gt;20,I315&lt;=40),1, IF(AND(I315&gt;40,I315&lt;=60),2,IF(AND(I315&gt;60,I315&lt;=80),3, IF(AND(I315&gt;80,I315&lt;=100),4,”5”)))))</f>
        <v>2</v>
      </c>
    </row>
    <row r="316" spans="1:10" x14ac:dyDescent="0.3">
      <c r="A316" t="str">
        <f t="shared" si="6"/>
        <v>59035_98</v>
      </c>
      <c r="B316">
        <f>VLOOKUP(C316,[1]lookuptable!$A$1:$C$7,2,0)</f>
        <v>59035</v>
      </c>
      <c r="C316" t="s">
        <v>9</v>
      </c>
      <c r="D316" s="1">
        <v>98</v>
      </c>
      <c r="E316">
        <v>0</v>
      </c>
      <c r="F316">
        <v>152</v>
      </c>
      <c r="G316">
        <v>152</v>
      </c>
      <c r="H316">
        <v>416</v>
      </c>
      <c r="I316" s="2">
        <v>36.53846154</v>
      </c>
      <c r="J316" cm="1">
        <f t="array" ref="J316">IF(AND(I316&gt;=0,I316&lt;=20),0,IF(AND(I316&gt;20,I316&lt;=40),1, IF(AND(I316&gt;40,I316&lt;=60),2,IF(AND(I316&gt;60,I316&lt;=80),3, IF(AND(I316&gt;80,I316&lt;=100),4,”5”)))))</f>
        <v>1</v>
      </c>
    </row>
    <row r="317" spans="1:10" x14ac:dyDescent="0.3">
      <c r="A317" t="str">
        <f t="shared" si="6"/>
        <v>59035_99</v>
      </c>
      <c r="B317">
        <f>VLOOKUP(C317,[1]lookuptable!$A$1:$C$7,2,0)</f>
        <v>59035</v>
      </c>
      <c r="C317" t="s">
        <v>9</v>
      </c>
      <c r="D317" s="1">
        <v>99</v>
      </c>
      <c r="E317">
        <v>0</v>
      </c>
      <c r="F317">
        <v>136</v>
      </c>
      <c r="G317">
        <v>136</v>
      </c>
      <c r="H317">
        <v>375</v>
      </c>
      <c r="I317" s="2">
        <v>36.266666669999999</v>
      </c>
      <c r="J317" cm="1">
        <f t="array" ref="J317">IF(AND(I317&gt;=0,I317&lt;=20),0,IF(AND(I317&gt;20,I317&lt;=40),1, IF(AND(I317&gt;40,I317&lt;=60),2,IF(AND(I317&gt;60,I317&lt;=80),3, IF(AND(I317&gt;80,I317&lt;=100),4,”5”)))))</f>
        <v>1</v>
      </c>
    </row>
    <row r="318" spans="1:10" x14ac:dyDescent="0.3">
      <c r="A318" t="str">
        <f t="shared" si="6"/>
        <v>59035_100</v>
      </c>
      <c r="B318">
        <f>VLOOKUP(C318,[1]lookuptable!$A$1:$C$7,2,0)</f>
        <v>59035</v>
      </c>
      <c r="C318" t="s">
        <v>9</v>
      </c>
      <c r="D318" s="1">
        <v>100</v>
      </c>
      <c r="E318">
        <v>0</v>
      </c>
      <c r="F318">
        <v>169</v>
      </c>
      <c r="G318">
        <v>169</v>
      </c>
      <c r="H318">
        <v>435</v>
      </c>
      <c r="I318" s="2">
        <v>38.850574709999997</v>
      </c>
      <c r="J318" cm="1">
        <f t="array" ref="J318">IF(AND(I318&gt;=0,I318&lt;=20),0,IF(AND(I318&gt;20,I318&lt;=40),1, IF(AND(I318&gt;40,I318&lt;=60),2,IF(AND(I318&gt;60,I318&lt;=80),3, IF(AND(I318&gt;80,I318&lt;=100),4,”5”)))))</f>
        <v>1</v>
      </c>
    </row>
    <row r="319" spans="1:10" x14ac:dyDescent="0.3">
      <c r="A319" t="str">
        <f t="shared" si="6"/>
        <v>59035_101</v>
      </c>
      <c r="B319">
        <f>VLOOKUP(C319,[1]lookuptable!$A$1:$C$7,2,0)</f>
        <v>59035</v>
      </c>
      <c r="C319" t="s">
        <v>9</v>
      </c>
      <c r="D319" s="1">
        <v>101</v>
      </c>
      <c r="E319">
        <v>0</v>
      </c>
      <c r="F319">
        <v>150</v>
      </c>
      <c r="G319">
        <v>150</v>
      </c>
      <c r="H319">
        <v>427</v>
      </c>
      <c r="I319" s="2">
        <v>35.128805620000001</v>
      </c>
      <c r="J319" cm="1">
        <f t="array" ref="J319">IF(AND(I319&gt;=0,I319&lt;=20),0,IF(AND(I319&gt;20,I319&lt;=40),1, IF(AND(I319&gt;40,I319&lt;=60),2,IF(AND(I319&gt;60,I319&lt;=80),3, IF(AND(I319&gt;80,I319&lt;=100),4,”5”)))))</f>
        <v>1</v>
      </c>
    </row>
    <row r="320" spans="1:10" x14ac:dyDescent="0.3">
      <c r="A320" t="str">
        <f t="shared" si="6"/>
        <v>59035_102</v>
      </c>
      <c r="B320">
        <f>VLOOKUP(C320,[1]lookuptable!$A$1:$C$7,2,0)</f>
        <v>59035</v>
      </c>
      <c r="C320" t="s">
        <v>9</v>
      </c>
      <c r="D320" s="1">
        <v>102</v>
      </c>
      <c r="E320">
        <v>2</v>
      </c>
      <c r="F320">
        <v>152</v>
      </c>
      <c r="G320">
        <v>154</v>
      </c>
      <c r="H320">
        <v>410</v>
      </c>
      <c r="I320" s="2">
        <v>37.56097561</v>
      </c>
      <c r="J320" cm="1">
        <f t="array" ref="J320">IF(AND(I320&gt;=0,I320&lt;=20),0,IF(AND(I320&gt;20,I320&lt;=40),1, IF(AND(I320&gt;40,I320&lt;=60),2,IF(AND(I320&gt;60,I320&lt;=80),3, IF(AND(I320&gt;80,I320&lt;=100),4,”5”)))))</f>
        <v>1</v>
      </c>
    </row>
    <row r="321" spans="1:10" x14ac:dyDescent="0.3">
      <c r="A321" t="str">
        <f t="shared" si="6"/>
        <v>59035_103</v>
      </c>
      <c r="B321">
        <f>VLOOKUP(C321,[1]lookuptable!$A$1:$C$7,2,0)</f>
        <v>59035</v>
      </c>
      <c r="C321" t="s">
        <v>9</v>
      </c>
      <c r="D321" s="1">
        <v>103</v>
      </c>
      <c r="E321">
        <v>0</v>
      </c>
      <c r="F321">
        <v>157</v>
      </c>
      <c r="G321">
        <v>157</v>
      </c>
      <c r="H321">
        <v>444</v>
      </c>
      <c r="I321" s="2">
        <v>35.360360360000001</v>
      </c>
      <c r="J321" cm="1">
        <f t="array" ref="J321">IF(AND(I321&gt;=0,I321&lt;=20),0,IF(AND(I321&gt;20,I321&lt;=40),1, IF(AND(I321&gt;40,I321&lt;=60),2,IF(AND(I321&gt;60,I321&lt;=80),3, IF(AND(I321&gt;80,I321&lt;=100),4,”5”)))))</f>
        <v>1</v>
      </c>
    </row>
    <row r="322" spans="1:10" x14ac:dyDescent="0.3">
      <c r="A322" t="str">
        <f t="shared" ref="A322:A385" si="7">CONCATENATE(B322,"_",D322)</f>
        <v>59035_104</v>
      </c>
      <c r="B322">
        <f>VLOOKUP(C322,[1]lookuptable!$A$1:$C$7,2,0)</f>
        <v>59035</v>
      </c>
      <c r="C322" t="s">
        <v>9</v>
      </c>
      <c r="D322" s="1">
        <v>104</v>
      </c>
      <c r="E322">
        <v>0</v>
      </c>
      <c r="F322">
        <v>153</v>
      </c>
      <c r="G322">
        <v>153</v>
      </c>
      <c r="H322">
        <v>482</v>
      </c>
      <c r="I322" s="2">
        <v>31.742738589999998</v>
      </c>
      <c r="J322" cm="1">
        <f t="array" ref="J322">IF(AND(I322&gt;=0,I322&lt;=20),0,IF(AND(I322&gt;20,I322&lt;=40),1, IF(AND(I322&gt;40,I322&lt;=60),2,IF(AND(I322&gt;60,I322&lt;=80),3, IF(AND(I322&gt;80,I322&lt;=100),4,”5”)))))</f>
        <v>1</v>
      </c>
    </row>
    <row r="323" spans="1:10" x14ac:dyDescent="0.3">
      <c r="A323" t="str">
        <f t="shared" si="7"/>
        <v>59035_105</v>
      </c>
      <c r="B323">
        <f>VLOOKUP(C323,[1]lookuptable!$A$1:$C$7,2,0)</f>
        <v>59035</v>
      </c>
      <c r="C323" t="s">
        <v>9</v>
      </c>
      <c r="D323" s="1">
        <v>105</v>
      </c>
      <c r="E323">
        <v>0</v>
      </c>
      <c r="F323">
        <v>161</v>
      </c>
      <c r="G323">
        <v>161</v>
      </c>
      <c r="H323">
        <v>503</v>
      </c>
      <c r="I323" s="2">
        <v>32.007952289999999</v>
      </c>
      <c r="J323" cm="1">
        <f t="array" ref="J323">IF(AND(I323&gt;=0,I323&lt;=20),0,IF(AND(I323&gt;20,I323&lt;=40),1, IF(AND(I323&gt;40,I323&lt;=60),2,IF(AND(I323&gt;60,I323&lt;=80),3, IF(AND(I323&gt;80,I323&lt;=100),4,”5”)))))</f>
        <v>1</v>
      </c>
    </row>
    <row r="324" spans="1:10" x14ac:dyDescent="0.3">
      <c r="A324" t="str">
        <f t="shared" si="7"/>
        <v>59035_106</v>
      </c>
      <c r="B324">
        <f>VLOOKUP(C324,[1]lookuptable!$A$1:$C$7,2,0)</f>
        <v>59035</v>
      </c>
      <c r="C324" t="s">
        <v>9</v>
      </c>
      <c r="D324" s="1">
        <v>106</v>
      </c>
      <c r="E324">
        <v>0</v>
      </c>
      <c r="F324">
        <v>109</v>
      </c>
      <c r="G324">
        <v>109</v>
      </c>
      <c r="H324">
        <v>401</v>
      </c>
      <c r="I324" s="2">
        <v>27.18204489</v>
      </c>
      <c r="J324" cm="1">
        <f t="array" ref="J324">IF(AND(I324&gt;=0,I324&lt;=20),0,IF(AND(I324&gt;20,I324&lt;=40),1, IF(AND(I324&gt;40,I324&lt;=60),2,IF(AND(I324&gt;60,I324&lt;=80),3, IF(AND(I324&gt;80,I324&lt;=100),4,”5”)))))</f>
        <v>1</v>
      </c>
    </row>
    <row r="325" spans="1:10" x14ac:dyDescent="0.3">
      <c r="A325" t="str">
        <f t="shared" si="7"/>
        <v>59035_107</v>
      </c>
      <c r="B325">
        <f>VLOOKUP(C325,[1]lookuptable!$A$1:$C$7,2,0)</f>
        <v>59035</v>
      </c>
      <c r="C325" t="s">
        <v>9</v>
      </c>
      <c r="D325" s="1">
        <v>107</v>
      </c>
      <c r="E325">
        <v>0</v>
      </c>
      <c r="F325">
        <v>157</v>
      </c>
      <c r="G325">
        <v>157</v>
      </c>
      <c r="H325">
        <v>499</v>
      </c>
      <c r="I325" s="2">
        <v>31.462925850000001</v>
      </c>
      <c r="J325" cm="1">
        <f t="array" ref="J325">IF(AND(I325&gt;=0,I325&lt;=20),0,IF(AND(I325&gt;20,I325&lt;=40),1, IF(AND(I325&gt;40,I325&lt;=60),2,IF(AND(I325&gt;60,I325&lt;=80),3, IF(AND(I325&gt;80,I325&lt;=100),4,”5”)))))</f>
        <v>1</v>
      </c>
    </row>
    <row r="326" spans="1:10" x14ac:dyDescent="0.3">
      <c r="A326" t="str">
        <f t="shared" si="7"/>
        <v>59035_108</v>
      </c>
      <c r="B326">
        <f>VLOOKUP(C326,[1]lookuptable!$A$1:$C$7,2,0)</f>
        <v>59035</v>
      </c>
      <c r="C326" t="s">
        <v>9</v>
      </c>
      <c r="D326" s="1">
        <v>108</v>
      </c>
      <c r="E326">
        <v>0</v>
      </c>
      <c r="F326">
        <v>135</v>
      </c>
      <c r="G326">
        <v>135</v>
      </c>
      <c r="H326">
        <v>507</v>
      </c>
      <c r="I326" s="2">
        <v>26.627218930000002</v>
      </c>
      <c r="J326" cm="1">
        <f t="array" ref="J326">IF(AND(I326&gt;=0,I326&lt;=20),0,IF(AND(I326&gt;20,I326&lt;=40),1, IF(AND(I326&gt;40,I326&lt;=60),2,IF(AND(I326&gt;60,I326&lt;=80),3, IF(AND(I326&gt;80,I326&lt;=100),4,”5”)))))</f>
        <v>1</v>
      </c>
    </row>
    <row r="327" spans="1:10" x14ac:dyDescent="0.3">
      <c r="A327" t="str">
        <f t="shared" si="7"/>
        <v>59035_109</v>
      </c>
      <c r="B327">
        <f>VLOOKUP(C327,[1]lookuptable!$A$1:$C$7,2,0)</f>
        <v>59035</v>
      </c>
      <c r="C327" t="s">
        <v>9</v>
      </c>
      <c r="D327" s="1">
        <v>109</v>
      </c>
      <c r="E327">
        <v>0</v>
      </c>
      <c r="F327">
        <v>174</v>
      </c>
      <c r="G327">
        <v>174</v>
      </c>
      <c r="H327">
        <v>539</v>
      </c>
      <c r="I327" s="2">
        <v>32.282003709999998</v>
      </c>
      <c r="J327" cm="1">
        <f t="array" ref="J327">IF(AND(I327&gt;=0,I327&lt;=20),0,IF(AND(I327&gt;20,I327&lt;=40),1, IF(AND(I327&gt;40,I327&lt;=60),2,IF(AND(I327&gt;60,I327&lt;=80),3, IF(AND(I327&gt;80,I327&lt;=100),4,”5”)))))</f>
        <v>1</v>
      </c>
    </row>
    <row r="328" spans="1:10" x14ac:dyDescent="0.3">
      <c r="A328" t="str">
        <f t="shared" si="7"/>
        <v>59035_110</v>
      </c>
      <c r="B328">
        <f>VLOOKUP(C328,[1]lookuptable!$A$1:$C$7,2,0)</f>
        <v>59035</v>
      </c>
      <c r="C328" t="s">
        <v>9</v>
      </c>
      <c r="D328" s="1">
        <v>110</v>
      </c>
      <c r="E328">
        <v>0</v>
      </c>
      <c r="F328">
        <v>192</v>
      </c>
      <c r="G328">
        <v>192</v>
      </c>
      <c r="H328">
        <v>489</v>
      </c>
      <c r="I328" s="2">
        <v>39.263803680000002</v>
      </c>
      <c r="J328" cm="1">
        <f t="array" ref="J328">IF(AND(I328&gt;=0,I328&lt;=20),0,IF(AND(I328&gt;20,I328&lt;=40),1, IF(AND(I328&gt;40,I328&lt;=60),2,IF(AND(I328&gt;60,I328&lt;=80),3, IF(AND(I328&gt;80,I328&lt;=100),4,”5”)))))</f>
        <v>1</v>
      </c>
    </row>
    <row r="329" spans="1:10" x14ac:dyDescent="0.3">
      <c r="A329" t="str">
        <f t="shared" si="7"/>
        <v>59035_111</v>
      </c>
      <c r="B329">
        <f>VLOOKUP(C329,[1]lookuptable!$A$1:$C$7,2,0)</f>
        <v>59035</v>
      </c>
      <c r="C329" t="s">
        <v>9</v>
      </c>
      <c r="D329" s="1">
        <v>111</v>
      </c>
      <c r="E329">
        <v>1</v>
      </c>
      <c r="F329">
        <v>130</v>
      </c>
      <c r="G329">
        <v>131</v>
      </c>
      <c r="H329">
        <v>411</v>
      </c>
      <c r="I329" s="2">
        <v>31.873479320000001</v>
      </c>
      <c r="J329" cm="1">
        <f t="array" ref="J329">IF(AND(I329&gt;=0,I329&lt;=20),0,IF(AND(I329&gt;20,I329&lt;=40),1, IF(AND(I329&gt;40,I329&lt;=60),2,IF(AND(I329&gt;60,I329&lt;=80),3, IF(AND(I329&gt;80,I329&lt;=100),4,”5”)))))</f>
        <v>1</v>
      </c>
    </row>
    <row r="330" spans="1:10" x14ac:dyDescent="0.3">
      <c r="A330" t="str">
        <f t="shared" si="7"/>
        <v>59035_112</v>
      </c>
      <c r="B330">
        <f>VLOOKUP(C330,[1]lookuptable!$A$1:$C$7,2,0)</f>
        <v>59035</v>
      </c>
      <c r="C330" t="s">
        <v>9</v>
      </c>
      <c r="D330" s="1">
        <v>112</v>
      </c>
      <c r="E330">
        <v>1</v>
      </c>
      <c r="F330">
        <v>121</v>
      </c>
      <c r="G330">
        <v>122</v>
      </c>
      <c r="H330">
        <v>408</v>
      </c>
      <c r="I330" s="2">
        <v>29.90196078</v>
      </c>
      <c r="J330" cm="1">
        <f t="array" ref="J330">IF(AND(I330&gt;=0,I330&lt;=20),0,IF(AND(I330&gt;20,I330&lt;=40),1, IF(AND(I330&gt;40,I330&lt;=60),2,IF(AND(I330&gt;60,I330&lt;=80),3, IF(AND(I330&gt;80,I330&lt;=100),4,”5”)))))</f>
        <v>1</v>
      </c>
    </row>
    <row r="331" spans="1:10" x14ac:dyDescent="0.3">
      <c r="A331" t="str">
        <f t="shared" si="7"/>
        <v>59035_113</v>
      </c>
      <c r="B331">
        <f>VLOOKUP(C331,[1]lookuptable!$A$1:$C$7,2,0)</f>
        <v>59035</v>
      </c>
      <c r="C331" t="s">
        <v>9</v>
      </c>
      <c r="D331" s="1">
        <v>113</v>
      </c>
      <c r="E331">
        <v>1</v>
      </c>
      <c r="F331">
        <v>194</v>
      </c>
      <c r="G331">
        <v>195</v>
      </c>
      <c r="H331">
        <v>389</v>
      </c>
      <c r="I331" s="2">
        <v>50.128534700000003</v>
      </c>
      <c r="J331" cm="1">
        <f t="array" ref="J331">IF(AND(I331&gt;=0,I331&lt;=20),0,IF(AND(I331&gt;20,I331&lt;=40),1, IF(AND(I331&gt;40,I331&lt;=60),2,IF(AND(I331&gt;60,I331&lt;=80),3, IF(AND(I331&gt;80,I331&lt;=100),4,”5”)))))</f>
        <v>2</v>
      </c>
    </row>
    <row r="332" spans="1:10" x14ac:dyDescent="0.3">
      <c r="A332" t="str">
        <f t="shared" si="7"/>
        <v>59035_114</v>
      </c>
      <c r="B332">
        <f>VLOOKUP(C332,[1]lookuptable!$A$1:$C$7,2,0)</f>
        <v>59035</v>
      </c>
      <c r="C332" t="s">
        <v>9</v>
      </c>
      <c r="D332" s="1">
        <v>114</v>
      </c>
      <c r="E332">
        <v>0</v>
      </c>
      <c r="F332">
        <v>163</v>
      </c>
      <c r="G332">
        <v>163</v>
      </c>
      <c r="H332">
        <v>359</v>
      </c>
      <c r="I332" s="2">
        <v>45.403899719999998</v>
      </c>
      <c r="J332" cm="1">
        <f t="array" ref="J332">IF(AND(I332&gt;=0,I332&lt;=20),0,IF(AND(I332&gt;20,I332&lt;=40),1, IF(AND(I332&gt;40,I332&lt;=60),2,IF(AND(I332&gt;60,I332&lt;=80),3, IF(AND(I332&gt;80,I332&lt;=100),4,”5”)))))</f>
        <v>2</v>
      </c>
    </row>
    <row r="333" spans="1:10" x14ac:dyDescent="0.3">
      <c r="A333" t="str">
        <f t="shared" si="7"/>
        <v>59035_115</v>
      </c>
      <c r="B333">
        <f>VLOOKUP(C333,[1]lookuptable!$A$1:$C$7,2,0)</f>
        <v>59035</v>
      </c>
      <c r="C333" t="s">
        <v>9</v>
      </c>
      <c r="D333" s="1">
        <v>115</v>
      </c>
      <c r="E333">
        <v>0</v>
      </c>
      <c r="F333">
        <v>174</v>
      </c>
      <c r="G333">
        <v>174</v>
      </c>
      <c r="H333">
        <v>419</v>
      </c>
      <c r="I333" s="2">
        <v>41.527446300000001</v>
      </c>
      <c r="J333" cm="1">
        <f t="array" ref="J333">IF(AND(I333&gt;=0,I333&lt;=20),0,IF(AND(I333&gt;20,I333&lt;=40),1, IF(AND(I333&gt;40,I333&lt;=60),2,IF(AND(I333&gt;60,I333&lt;=80),3, IF(AND(I333&gt;80,I333&lt;=100),4,”5”)))))</f>
        <v>2</v>
      </c>
    </row>
    <row r="334" spans="1:10" x14ac:dyDescent="0.3">
      <c r="A334" t="str">
        <f t="shared" si="7"/>
        <v>59035_116</v>
      </c>
      <c r="B334">
        <f>VLOOKUP(C334,[1]lookuptable!$A$1:$C$7,2,0)</f>
        <v>59035</v>
      </c>
      <c r="C334" t="s">
        <v>9</v>
      </c>
      <c r="D334" s="1">
        <v>116</v>
      </c>
      <c r="E334">
        <v>1</v>
      </c>
      <c r="F334">
        <v>178</v>
      </c>
      <c r="G334">
        <v>179</v>
      </c>
      <c r="H334">
        <v>394</v>
      </c>
      <c r="I334" s="2">
        <v>45.431472079999999</v>
      </c>
      <c r="J334" cm="1">
        <f t="array" ref="J334">IF(AND(I334&gt;=0,I334&lt;=20),0,IF(AND(I334&gt;20,I334&lt;=40),1, IF(AND(I334&gt;40,I334&lt;=60),2,IF(AND(I334&gt;60,I334&lt;=80),3, IF(AND(I334&gt;80,I334&lt;=100),4,”5”)))))</f>
        <v>2</v>
      </c>
    </row>
    <row r="335" spans="1:10" x14ac:dyDescent="0.3">
      <c r="A335" t="str">
        <f t="shared" si="7"/>
        <v>59035_117</v>
      </c>
      <c r="B335">
        <f>VLOOKUP(C335,[1]lookuptable!$A$1:$C$7,2,0)</f>
        <v>59035</v>
      </c>
      <c r="C335" t="s">
        <v>9</v>
      </c>
      <c r="D335" s="1">
        <v>117</v>
      </c>
      <c r="E335">
        <v>0</v>
      </c>
      <c r="F335">
        <v>130</v>
      </c>
      <c r="G335">
        <v>130</v>
      </c>
      <c r="H335">
        <v>357</v>
      </c>
      <c r="I335" s="2">
        <v>36.414565830000001</v>
      </c>
      <c r="J335" cm="1">
        <f t="array" ref="J335">IF(AND(I335&gt;=0,I335&lt;=20),0,IF(AND(I335&gt;20,I335&lt;=40),1, IF(AND(I335&gt;40,I335&lt;=60),2,IF(AND(I335&gt;60,I335&lt;=80),3, IF(AND(I335&gt;80,I335&lt;=100),4,”5”)))))</f>
        <v>1</v>
      </c>
    </row>
    <row r="336" spans="1:10" x14ac:dyDescent="0.3">
      <c r="A336" t="str">
        <f t="shared" si="7"/>
        <v>59035_118</v>
      </c>
      <c r="B336">
        <f>VLOOKUP(C336,[1]lookuptable!$A$1:$C$7,2,0)</f>
        <v>59035</v>
      </c>
      <c r="C336" t="s">
        <v>9</v>
      </c>
      <c r="D336" s="1">
        <v>118</v>
      </c>
      <c r="E336">
        <v>1</v>
      </c>
      <c r="F336">
        <v>176</v>
      </c>
      <c r="G336">
        <v>177</v>
      </c>
      <c r="H336">
        <v>447</v>
      </c>
      <c r="I336" s="2">
        <v>39.597315440000003</v>
      </c>
      <c r="J336" cm="1">
        <f t="array" ref="J336">IF(AND(I336&gt;=0,I336&lt;=20),0,IF(AND(I336&gt;20,I336&lt;=40),1, IF(AND(I336&gt;40,I336&lt;=60),2,IF(AND(I336&gt;60,I336&lt;=80),3, IF(AND(I336&gt;80,I336&lt;=100),4,”5”)))))</f>
        <v>1</v>
      </c>
    </row>
    <row r="337" spans="1:10" x14ac:dyDescent="0.3">
      <c r="A337" t="str">
        <f t="shared" si="7"/>
        <v>59035_119</v>
      </c>
      <c r="B337">
        <f>VLOOKUP(C337,[1]lookuptable!$A$1:$C$7,2,0)</f>
        <v>59035</v>
      </c>
      <c r="C337" t="s">
        <v>9</v>
      </c>
      <c r="D337" s="1">
        <v>119</v>
      </c>
      <c r="E337">
        <v>0</v>
      </c>
      <c r="F337">
        <v>155</v>
      </c>
      <c r="G337">
        <v>155</v>
      </c>
      <c r="H337">
        <v>359</v>
      </c>
      <c r="I337" s="2">
        <v>43.17548747</v>
      </c>
      <c r="J337" cm="1">
        <f t="array" ref="J337">IF(AND(I337&gt;=0,I337&lt;=20),0,IF(AND(I337&gt;20,I337&lt;=40),1, IF(AND(I337&gt;40,I337&lt;=60),2,IF(AND(I337&gt;60,I337&lt;=80),3, IF(AND(I337&gt;80,I337&lt;=100),4,”5”)))))</f>
        <v>2</v>
      </c>
    </row>
    <row r="338" spans="1:10" x14ac:dyDescent="0.3">
      <c r="A338" t="str">
        <f t="shared" si="7"/>
        <v>59035_120</v>
      </c>
      <c r="B338">
        <f>VLOOKUP(C338,[1]lookuptable!$A$1:$C$7,2,0)</f>
        <v>59035</v>
      </c>
      <c r="C338" t="s">
        <v>9</v>
      </c>
      <c r="D338" s="1">
        <v>120</v>
      </c>
      <c r="E338">
        <v>13</v>
      </c>
      <c r="F338">
        <v>149</v>
      </c>
      <c r="G338">
        <v>162</v>
      </c>
      <c r="H338">
        <v>372</v>
      </c>
      <c r="I338" s="2">
        <v>43.548387099999999</v>
      </c>
      <c r="J338" cm="1">
        <f t="array" ref="J338">IF(AND(I338&gt;=0,I338&lt;=20),0,IF(AND(I338&gt;20,I338&lt;=40),1, IF(AND(I338&gt;40,I338&lt;=60),2,IF(AND(I338&gt;60,I338&lt;=80),3, IF(AND(I338&gt;80,I338&lt;=100),4,”5”)))))</f>
        <v>2</v>
      </c>
    </row>
    <row r="339" spans="1:10" x14ac:dyDescent="0.3">
      <c r="A339" t="str">
        <f t="shared" si="7"/>
        <v>59035_121</v>
      </c>
      <c r="B339">
        <f>VLOOKUP(C339,[1]lookuptable!$A$1:$C$7,2,0)</f>
        <v>59035</v>
      </c>
      <c r="C339" t="s">
        <v>9</v>
      </c>
      <c r="D339" s="1">
        <v>121</v>
      </c>
      <c r="E339">
        <v>1</v>
      </c>
      <c r="F339">
        <v>216</v>
      </c>
      <c r="G339">
        <v>217</v>
      </c>
      <c r="H339">
        <v>457</v>
      </c>
      <c r="I339" s="2">
        <v>47.483588619999999</v>
      </c>
      <c r="J339" cm="1">
        <f t="array" ref="J339">IF(AND(I339&gt;=0,I339&lt;=20),0,IF(AND(I339&gt;20,I339&lt;=40),1, IF(AND(I339&gt;40,I339&lt;=60),2,IF(AND(I339&gt;60,I339&lt;=80),3, IF(AND(I339&gt;80,I339&lt;=100),4,”5”)))))</f>
        <v>2</v>
      </c>
    </row>
    <row r="340" spans="1:10" x14ac:dyDescent="0.3">
      <c r="A340" t="str">
        <f t="shared" si="7"/>
        <v>59035_122</v>
      </c>
      <c r="B340">
        <f>VLOOKUP(C340,[1]lookuptable!$A$1:$C$7,2,0)</f>
        <v>59035</v>
      </c>
      <c r="C340" t="s">
        <v>9</v>
      </c>
      <c r="D340" s="1">
        <v>122</v>
      </c>
      <c r="E340">
        <v>0</v>
      </c>
      <c r="F340">
        <v>150</v>
      </c>
      <c r="G340">
        <v>150</v>
      </c>
      <c r="H340">
        <v>371</v>
      </c>
      <c r="I340" s="2">
        <v>40.43126685</v>
      </c>
      <c r="J340" cm="1">
        <f t="array" ref="J340">IF(AND(I340&gt;=0,I340&lt;=20),0,IF(AND(I340&gt;20,I340&lt;=40),1, IF(AND(I340&gt;40,I340&lt;=60),2,IF(AND(I340&gt;60,I340&lt;=80),3, IF(AND(I340&gt;80,I340&lt;=100),4,”5”)))))</f>
        <v>2</v>
      </c>
    </row>
    <row r="341" spans="1:10" x14ac:dyDescent="0.3">
      <c r="A341" t="str">
        <f t="shared" si="7"/>
        <v>59035_123</v>
      </c>
      <c r="B341">
        <f>VLOOKUP(C341,[1]lookuptable!$A$1:$C$7,2,0)</f>
        <v>59035</v>
      </c>
      <c r="C341" t="s">
        <v>9</v>
      </c>
      <c r="D341" s="1">
        <v>123</v>
      </c>
      <c r="E341">
        <v>1</v>
      </c>
      <c r="F341">
        <v>120</v>
      </c>
      <c r="G341">
        <v>121</v>
      </c>
      <c r="H341">
        <v>315</v>
      </c>
      <c r="I341" s="2">
        <v>38.412698409999997</v>
      </c>
      <c r="J341" cm="1">
        <f t="array" ref="J341">IF(AND(I341&gt;=0,I341&lt;=20),0,IF(AND(I341&gt;20,I341&lt;=40),1, IF(AND(I341&gt;40,I341&lt;=60),2,IF(AND(I341&gt;60,I341&lt;=80),3, IF(AND(I341&gt;80,I341&lt;=100),4,”5”)))))</f>
        <v>1</v>
      </c>
    </row>
    <row r="342" spans="1:10" x14ac:dyDescent="0.3">
      <c r="A342" t="str">
        <f t="shared" si="7"/>
        <v>59035_124</v>
      </c>
      <c r="B342">
        <f>VLOOKUP(C342,[1]lookuptable!$A$1:$C$7,2,0)</f>
        <v>59035</v>
      </c>
      <c r="C342" t="s">
        <v>9</v>
      </c>
      <c r="D342" s="1">
        <v>124</v>
      </c>
      <c r="E342">
        <v>0</v>
      </c>
      <c r="F342">
        <v>174</v>
      </c>
      <c r="G342">
        <v>174</v>
      </c>
      <c r="H342">
        <v>431</v>
      </c>
      <c r="I342" s="2">
        <v>40.371229700000001</v>
      </c>
      <c r="J342" cm="1">
        <f t="array" ref="J342">IF(AND(I342&gt;=0,I342&lt;=20),0,IF(AND(I342&gt;20,I342&lt;=40),1, IF(AND(I342&gt;40,I342&lt;=60),2,IF(AND(I342&gt;60,I342&lt;=80),3, IF(AND(I342&gt;80,I342&lt;=100),4,”5”)))))</f>
        <v>2</v>
      </c>
    </row>
    <row r="343" spans="1:10" x14ac:dyDescent="0.3">
      <c r="A343" t="str">
        <f t="shared" si="7"/>
        <v>59035_125</v>
      </c>
      <c r="B343">
        <f>VLOOKUP(C343,[1]lookuptable!$A$1:$C$7,2,0)</f>
        <v>59035</v>
      </c>
      <c r="C343" t="s">
        <v>9</v>
      </c>
      <c r="D343" s="1">
        <v>125</v>
      </c>
      <c r="E343">
        <v>1</v>
      </c>
      <c r="F343">
        <v>223</v>
      </c>
      <c r="G343">
        <v>224</v>
      </c>
      <c r="H343">
        <v>531</v>
      </c>
      <c r="I343" s="2">
        <v>42.184557439999999</v>
      </c>
      <c r="J343" cm="1">
        <f t="array" ref="J343">IF(AND(I343&gt;=0,I343&lt;=20),0,IF(AND(I343&gt;20,I343&lt;=40),1, IF(AND(I343&gt;40,I343&lt;=60),2,IF(AND(I343&gt;60,I343&lt;=80),3, IF(AND(I343&gt;80,I343&lt;=100),4,”5”)))))</f>
        <v>2</v>
      </c>
    </row>
    <row r="344" spans="1:10" x14ac:dyDescent="0.3">
      <c r="A344" t="str">
        <f t="shared" si="7"/>
        <v>59035_126</v>
      </c>
      <c r="B344">
        <f>VLOOKUP(C344,[1]lookuptable!$A$1:$C$7,2,0)</f>
        <v>59035</v>
      </c>
      <c r="C344" t="s">
        <v>9</v>
      </c>
      <c r="D344" s="1">
        <v>126</v>
      </c>
      <c r="E344">
        <v>0</v>
      </c>
      <c r="F344">
        <v>97</v>
      </c>
      <c r="G344">
        <v>97</v>
      </c>
      <c r="H344">
        <v>410</v>
      </c>
      <c r="I344" s="2">
        <v>23.658536590000001</v>
      </c>
      <c r="J344" cm="1">
        <f t="array" ref="J344">IF(AND(I344&gt;=0,I344&lt;=20),0,IF(AND(I344&gt;20,I344&lt;=40),1, IF(AND(I344&gt;40,I344&lt;=60),2,IF(AND(I344&gt;60,I344&lt;=80),3, IF(AND(I344&gt;80,I344&lt;=100),4,”5”)))))</f>
        <v>1</v>
      </c>
    </row>
    <row r="345" spans="1:10" x14ac:dyDescent="0.3">
      <c r="A345" t="str">
        <f t="shared" si="7"/>
        <v>59035_127</v>
      </c>
      <c r="B345">
        <f>VLOOKUP(C345,[1]lookuptable!$A$1:$C$7,2,0)</f>
        <v>59035</v>
      </c>
      <c r="C345" t="s">
        <v>9</v>
      </c>
      <c r="D345" s="1">
        <v>127</v>
      </c>
      <c r="E345">
        <v>1</v>
      </c>
      <c r="F345">
        <v>196</v>
      </c>
      <c r="G345">
        <v>197</v>
      </c>
      <c r="H345">
        <v>497</v>
      </c>
      <c r="I345" s="2">
        <v>39.637826959999998</v>
      </c>
      <c r="J345" cm="1">
        <f t="array" ref="J345">IF(AND(I345&gt;=0,I345&lt;=20),0,IF(AND(I345&gt;20,I345&lt;=40),1, IF(AND(I345&gt;40,I345&lt;=60),2,IF(AND(I345&gt;60,I345&lt;=80),3, IF(AND(I345&gt;80,I345&lt;=100),4,”5”)))))</f>
        <v>1</v>
      </c>
    </row>
    <row r="346" spans="1:10" x14ac:dyDescent="0.3">
      <c r="A346" t="str">
        <f t="shared" si="7"/>
        <v>59035_128</v>
      </c>
      <c r="B346">
        <f>VLOOKUP(C346,[1]lookuptable!$A$1:$C$7,2,0)</f>
        <v>59035</v>
      </c>
      <c r="C346" t="s">
        <v>9</v>
      </c>
      <c r="D346" s="1">
        <v>128</v>
      </c>
      <c r="E346">
        <v>0</v>
      </c>
      <c r="F346">
        <v>119</v>
      </c>
      <c r="G346">
        <v>119</v>
      </c>
      <c r="H346">
        <v>359</v>
      </c>
      <c r="I346" s="2">
        <v>33.147632309999999</v>
      </c>
      <c r="J346" cm="1">
        <f t="array" ref="J346">IF(AND(I346&gt;=0,I346&lt;=20),0,IF(AND(I346&gt;20,I346&lt;=40),1, IF(AND(I346&gt;40,I346&lt;=60),2,IF(AND(I346&gt;60,I346&lt;=80),3, IF(AND(I346&gt;80,I346&lt;=100),4,”5”)))))</f>
        <v>1</v>
      </c>
    </row>
    <row r="347" spans="1:10" x14ac:dyDescent="0.3">
      <c r="A347" t="str">
        <f t="shared" si="7"/>
        <v>59035_129</v>
      </c>
      <c r="B347">
        <f>VLOOKUP(C347,[1]lookuptable!$A$1:$C$7,2,0)</f>
        <v>59035</v>
      </c>
      <c r="C347" t="s">
        <v>9</v>
      </c>
      <c r="D347" s="1">
        <v>129</v>
      </c>
      <c r="E347">
        <v>3</v>
      </c>
      <c r="F347">
        <v>208</v>
      </c>
      <c r="G347">
        <v>211</v>
      </c>
      <c r="H347">
        <v>461</v>
      </c>
      <c r="I347" s="2">
        <v>45.770065080000002</v>
      </c>
      <c r="J347" cm="1">
        <f t="array" ref="J347">IF(AND(I347&gt;=0,I347&lt;=20),0,IF(AND(I347&gt;20,I347&lt;=40),1, IF(AND(I347&gt;40,I347&lt;=60),2,IF(AND(I347&gt;60,I347&lt;=80),3, IF(AND(I347&gt;80,I347&lt;=100),4,”5”)))))</f>
        <v>2</v>
      </c>
    </row>
    <row r="348" spans="1:10" x14ac:dyDescent="0.3">
      <c r="A348" t="str">
        <f t="shared" si="7"/>
        <v>59035_130</v>
      </c>
      <c r="B348">
        <f>VLOOKUP(C348,[1]lookuptable!$A$1:$C$7,2,0)</f>
        <v>59035</v>
      </c>
      <c r="C348" t="s">
        <v>9</v>
      </c>
      <c r="D348" s="1">
        <v>130</v>
      </c>
      <c r="E348">
        <v>2</v>
      </c>
      <c r="F348">
        <v>140</v>
      </c>
      <c r="G348">
        <v>142</v>
      </c>
      <c r="H348">
        <v>396</v>
      </c>
      <c r="I348" s="2">
        <v>35.858585859999998</v>
      </c>
      <c r="J348" cm="1">
        <f t="array" ref="J348">IF(AND(I348&gt;=0,I348&lt;=20),0,IF(AND(I348&gt;20,I348&lt;=40),1, IF(AND(I348&gt;40,I348&lt;=60),2,IF(AND(I348&gt;60,I348&lt;=80),3, IF(AND(I348&gt;80,I348&lt;=100),4,”5”)))))</f>
        <v>1</v>
      </c>
    </row>
    <row r="349" spans="1:10" x14ac:dyDescent="0.3">
      <c r="A349" t="str">
        <f t="shared" si="7"/>
        <v>59035_131</v>
      </c>
      <c r="B349">
        <f>VLOOKUP(C349,[1]lookuptable!$A$1:$C$7,2,0)</f>
        <v>59035</v>
      </c>
      <c r="C349" t="s">
        <v>9</v>
      </c>
      <c r="D349" s="1">
        <v>131</v>
      </c>
      <c r="E349">
        <v>1</v>
      </c>
      <c r="F349">
        <v>160</v>
      </c>
      <c r="G349">
        <v>161</v>
      </c>
      <c r="H349">
        <v>447</v>
      </c>
      <c r="I349" s="2">
        <v>36.017897089999998</v>
      </c>
      <c r="J349" cm="1">
        <f t="array" ref="J349">IF(AND(I349&gt;=0,I349&lt;=20),0,IF(AND(I349&gt;20,I349&lt;=40),1, IF(AND(I349&gt;40,I349&lt;=60),2,IF(AND(I349&gt;60,I349&lt;=80),3, IF(AND(I349&gt;80,I349&lt;=100),4,”5”)))))</f>
        <v>1</v>
      </c>
    </row>
    <row r="350" spans="1:10" x14ac:dyDescent="0.3">
      <c r="A350" t="str">
        <f t="shared" si="7"/>
        <v>59035_132</v>
      </c>
      <c r="B350">
        <f>VLOOKUP(C350,[1]lookuptable!$A$1:$C$7,2,0)</f>
        <v>59035</v>
      </c>
      <c r="C350" t="s">
        <v>9</v>
      </c>
      <c r="D350" s="1">
        <v>132</v>
      </c>
      <c r="E350">
        <v>1</v>
      </c>
      <c r="F350">
        <v>110</v>
      </c>
      <c r="G350">
        <v>111</v>
      </c>
      <c r="H350">
        <v>299</v>
      </c>
      <c r="I350" s="2">
        <v>37.123745820000003</v>
      </c>
      <c r="J350" cm="1">
        <f t="array" ref="J350">IF(AND(I350&gt;=0,I350&lt;=20),0,IF(AND(I350&gt;20,I350&lt;=40),1, IF(AND(I350&gt;40,I350&lt;=60),2,IF(AND(I350&gt;60,I350&lt;=80),3, IF(AND(I350&gt;80,I350&lt;=100),4,”5”)))))</f>
        <v>1</v>
      </c>
    </row>
    <row r="351" spans="1:10" x14ac:dyDescent="0.3">
      <c r="A351" t="str">
        <f t="shared" si="7"/>
        <v>59035_133</v>
      </c>
      <c r="B351">
        <f>VLOOKUP(C351,[1]lookuptable!$A$1:$C$7,2,0)</f>
        <v>59035</v>
      </c>
      <c r="C351" t="s">
        <v>9</v>
      </c>
      <c r="D351" s="1">
        <v>133</v>
      </c>
      <c r="E351">
        <v>0</v>
      </c>
      <c r="F351">
        <v>171</v>
      </c>
      <c r="G351">
        <v>171</v>
      </c>
      <c r="H351">
        <v>440</v>
      </c>
      <c r="I351" s="2">
        <v>38.863636360000001</v>
      </c>
      <c r="J351" cm="1">
        <f t="array" ref="J351">IF(AND(I351&gt;=0,I351&lt;=20),0,IF(AND(I351&gt;20,I351&lt;=40),1, IF(AND(I351&gt;40,I351&lt;=60),2,IF(AND(I351&gt;60,I351&lt;=80),3, IF(AND(I351&gt;80,I351&lt;=100),4,”5”)))))</f>
        <v>1</v>
      </c>
    </row>
    <row r="352" spans="1:10" x14ac:dyDescent="0.3">
      <c r="A352" t="str">
        <f t="shared" si="7"/>
        <v>59035_134</v>
      </c>
      <c r="B352">
        <f>VLOOKUP(C352,[1]lookuptable!$A$1:$C$7,2,0)</f>
        <v>59035</v>
      </c>
      <c r="C352" t="s">
        <v>9</v>
      </c>
      <c r="D352" s="1">
        <v>134</v>
      </c>
      <c r="E352">
        <v>2</v>
      </c>
      <c r="F352">
        <v>246</v>
      </c>
      <c r="G352">
        <v>248</v>
      </c>
      <c r="H352">
        <v>467</v>
      </c>
      <c r="I352" s="2">
        <v>53.104925049999999</v>
      </c>
      <c r="J352" cm="1">
        <f t="array" ref="J352">IF(AND(I352&gt;=0,I352&lt;=20),0,IF(AND(I352&gt;20,I352&lt;=40),1, IF(AND(I352&gt;40,I352&lt;=60),2,IF(AND(I352&gt;60,I352&lt;=80),3, IF(AND(I352&gt;80,I352&lt;=100),4,”5”)))))</f>
        <v>2</v>
      </c>
    </row>
    <row r="353" spans="1:10" x14ac:dyDescent="0.3">
      <c r="A353" t="str">
        <f t="shared" si="7"/>
        <v>59035_135</v>
      </c>
      <c r="B353">
        <f>VLOOKUP(C353,[1]lookuptable!$A$1:$C$7,2,0)</f>
        <v>59035</v>
      </c>
      <c r="C353" t="s">
        <v>9</v>
      </c>
      <c r="D353" s="1">
        <v>135</v>
      </c>
      <c r="E353">
        <v>3</v>
      </c>
      <c r="F353">
        <v>225</v>
      </c>
      <c r="G353">
        <v>228</v>
      </c>
      <c r="H353">
        <v>468</v>
      </c>
      <c r="I353" s="2">
        <v>48.717948720000003</v>
      </c>
      <c r="J353" cm="1">
        <f t="array" ref="J353">IF(AND(I353&gt;=0,I353&lt;=20),0,IF(AND(I353&gt;20,I353&lt;=40),1, IF(AND(I353&gt;40,I353&lt;=60),2,IF(AND(I353&gt;60,I353&lt;=80),3, IF(AND(I353&gt;80,I353&lt;=100),4,”5”)))))</f>
        <v>2</v>
      </c>
    </row>
    <row r="354" spans="1:10" x14ac:dyDescent="0.3">
      <c r="A354" t="str">
        <f t="shared" si="7"/>
        <v>59035_136</v>
      </c>
      <c r="B354">
        <f>VLOOKUP(C354,[1]lookuptable!$A$1:$C$7,2,0)</f>
        <v>59035</v>
      </c>
      <c r="C354" t="s">
        <v>9</v>
      </c>
      <c r="D354" s="1">
        <v>136</v>
      </c>
      <c r="E354">
        <v>5</v>
      </c>
      <c r="F354">
        <v>247</v>
      </c>
      <c r="G354">
        <v>252</v>
      </c>
      <c r="H354">
        <v>541</v>
      </c>
      <c r="I354" s="2">
        <v>46.58040665</v>
      </c>
      <c r="J354" cm="1">
        <f t="array" ref="J354">IF(AND(I354&gt;=0,I354&lt;=20),0,IF(AND(I354&gt;20,I354&lt;=40),1, IF(AND(I354&gt;40,I354&lt;=60),2,IF(AND(I354&gt;60,I354&lt;=80),3, IF(AND(I354&gt;80,I354&lt;=100),4,”5”)))))</f>
        <v>2</v>
      </c>
    </row>
    <row r="355" spans="1:10" x14ac:dyDescent="0.3">
      <c r="A355" t="str">
        <f t="shared" si="7"/>
        <v>59035_137</v>
      </c>
      <c r="B355">
        <f>VLOOKUP(C355,[1]lookuptable!$A$1:$C$7,2,0)</f>
        <v>59035</v>
      </c>
      <c r="C355" t="s">
        <v>9</v>
      </c>
      <c r="D355" s="1">
        <v>137</v>
      </c>
      <c r="E355">
        <v>1</v>
      </c>
      <c r="F355">
        <v>183</v>
      </c>
      <c r="G355">
        <v>184</v>
      </c>
      <c r="H355">
        <v>456</v>
      </c>
      <c r="I355" s="2">
        <v>40.350877189999999</v>
      </c>
      <c r="J355" cm="1">
        <f t="array" ref="J355">IF(AND(I355&gt;=0,I355&lt;=20),0,IF(AND(I355&gt;20,I355&lt;=40),1, IF(AND(I355&gt;40,I355&lt;=60),2,IF(AND(I355&gt;60,I355&lt;=80),3, IF(AND(I355&gt;80,I355&lt;=100),4,”5”)))))</f>
        <v>2</v>
      </c>
    </row>
    <row r="356" spans="1:10" x14ac:dyDescent="0.3">
      <c r="A356" t="str">
        <f t="shared" si="7"/>
        <v>59035_138</v>
      </c>
      <c r="B356">
        <f>VLOOKUP(C356,[1]lookuptable!$A$1:$C$7,2,0)</f>
        <v>59035</v>
      </c>
      <c r="C356" t="s">
        <v>9</v>
      </c>
      <c r="D356" s="1">
        <v>138</v>
      </c>
      <c r="E356">
        <v>2</v>
      </c>
      <c r="F356">
        <v>164</v>
      </c>
      <c r="G356">
        <v>166</v>
      </c>
      <c r="H356">
        <v>396</v>
      </c>
      <c r="I356" s="2">
        <v>41.919191920000003</v>
      </c>
      <c r="J356" cm="1">
        <f t="array" ref="J356">IF(AND(I356&gt;=0,I356&lt;=20),0,IF(AND(I356&gt;20,I356&lt;=40),1, IF(AND(I356&gt;40,I356&lt;=60),2,IF(AND(I356&gt;60,I356&lt;=80),3, IF(AND(I356&gt;80,I356&lt;=100),4,”5”)))))</f>
        <v>2</v>
      </c>
    </row>
    <row r="357" spans="1:10" x14ac:dyDescent="0.3">
      <c r="A357" t="str">
        <f t="shared" si="7"/>
        <v>59035_139</v>
      </c>
      <c r="B357">
        <f>VLOOKUP(C357,[1]lookuptable!$A$1:$C$7,2,0)</f>
        <v>59035</v>
      </c>
      <c r="C357" t="s">
        <v>9</v>
      </c>
      <c r="D357" s="1">
        <v>139</v>
      </c>
      <c r="E357">
        <v>1</v>
      </c>
      <c r="F357">
        <v>162</v>
      </c>
      <c r="G357">
        <v>163</v>
      </c>
      <c r="H357">
        <v>418</v>
      </c>
      <c r="I357" s="2">
        <v>38.995215309999999</v>
      </c>
      <c r="J357" cm="1">
        <f t="array" ref="J357">IF(AND(I357&gt;=0,I357&lt;=20),0,IF(AND(I357&gt;20,I357&lt;=40),1, IF(AND(I357&gt;40,I357&lt;=60),2,IF(AND(I357&gt;60,I357&lt;=80),3, IF(AND(I357&gt;80,I357&lt;=100),4,”5”)))))</f>
        <v>1</v>
      </c>
    </row>
    <row r="358" spans="1:10" x14ac:dyDescent="0.3">
      <c r="A358" t="str">
        <f t="shared" si="7"/>
        <v>59035_140</v>
      </c>
      <c r="B358">
        <f>VLOOKUP(C358,[1]lookuptable!$A$1:$C$7,2,0)</f>
        <v>59035</v>
      </c>
      <c r="C358" t="s">
        <v>9</v>
      </c>
      <c r="D358" s="1">
        <v>140</v>
      </c>
      <c r="E358">
        <v>3</v>
      </c>
      <c r="F358">
        <v>109</v>
      </c>
      <c r="G358">
        <v>112</v>
      </c>
      <c r="H358">
        <v>360</v>
      </c>
      <c r="I358" s="2">
        <v>31.11111111</v>
      </c>
      <c r="J358" cm="1">
        <f t="array" ref="J358">IF(AND(I358&gt;=0,I358&lt;=20),0,IF(AND(I358&gt;20,I358&lt;=40),1, IF(AND(I358&gt;40,I358&lt;=60),2,IF(AND(I358&gt;60,I358&lt;=80),3, IF(AND(I358&gt;80,I358&lt;=100),4,”5”)))))</f>
        <v>1</v>
      </c>
    </row>
    <row r="359" spans="1:10" x14ac:dyDescent="0.3">
      <c r="A359" t="str">
        <f t="shared" si="7"/>
        <v>59035_141</v>
      </c>
      <c r="B359">
        <f>VLOOKUP(C359,[1]lookuptable!$A$1:$C$7,2,0)</f>
        <v>59035</v>
      </c>
      <c r="C359" t="s">
        <v>9</v>
      </c>
      <c r="D359" s="1">
        <v>141</v>
      </c>
      <c r="E359">
        <v>2</v>
      </c>
      <c r="F359">
        <v>150</v>
      </c>
      <c r="G359">
        <v>152</v>
      </c>
      <c r="H359">
        <v>382</v>
      </c>
      <c r="I359" s="2">
        <v>39.790575920000002</v>
      </c>
      <c r="J359" cm="1">
        <f t="array" ref="J359">IF(AND(I359&gt;=0,I359&lt;=20),0,IF(AND(I359&gt;20,I359&lt;=40),1, IF(AND(I359&gt;40,I359&lt;=60),2,IF(AND(I359&gt;60,I359&lt;=80),3, IF(AND(I359&gt;80,I359&lt;=100),4,”5”)))))</f>
        <v>1</v>
      </c>
    </row>
    <row r="360" spans="1:10" x14ac:dyDescent="0.3">
      <c r="A360" t="str">
        <f t="shared" si="7"/>
        <v>59035_142</v>
      </c>
      <c r="B360">
        <f>VLOOKUP(C360,[1]lookuptable!$A$1:$C$7,2,0)</f>
        <v>59035</v>
      </c>
      <c r="C360" t="s">
        <v>9</v>
      </c>
      <c r="D360" s="1">
        <v>142</v>
      </c>
      <c r="E360">
        <v>2</v>
      </c>
      <c r="F360">
        <v>118</v>
      </c>
      <c r="G360">
        <v>120</v>
      </c>
      <c r="H360">
        <v>377</v>
      </c>
      <c r="I360" s="2">
        <v>31.830238730000001</v>
      </c>
      <c r="J360" cm="1">
        <f t="array" ref="J360">IF(AND(I360&gt;=0,I360&lt;=20),0,IF(AND(I360&gt;20,I360&lt;=40),1, IF(AND(I360&gt;40,I360&lt;=60),2,IF(AND(I360&gt;60,I360&lt;=80),3, IF(AND(I360&gt;80,I360&lt;=100),4,”5”)))))</f>
        <v>1</v>
      </c>
    </row>
    <row r="361" spans="1:10" x14ac:dyDescent="0.3">
      <c r="A361" t="str">
        <f t="shared" si="7"/>
        <v>59035_143</v>
      </c>
      <c r="B361">
        <f>VLOOKUP(C361,[1]lookuptable!$A$1:$C$7,2,0)</f>
        <v>59035</v>
      </c>
      <c r="C361" t="s">
        <v>9</v>
      </c>
      <c r="D361" s="1">
        <v>143</v>
      </c>
      <c r="E361">
        <v>4</v>
      </c>
      <c r="F361">
        <v>171</v>
      </c>
      <c r="G361">
        <v>175</v>
      </c>
      <c r="H361">
        <v>446</v>
      </c>
      <c r="I361" s="2">
        <v>39.237668159999998</v>
      </c>
      <c r="J361" cm="1">
        <f t="array" ref="J361">IF(AND(I361&gt;=0,I361&lt;=20),0,IF(AND(I361&gt;20,I361&lt;=40),1, IF(AND(I361&gt;40,I361&lt;=60),2,IF(AND(I361&gt;60,I361&lt;=80),3, IF(AND(I361&gt;80,I361&lt;=100),4,”5”)))))</f>
        <v>1</v>
      </c>
    </row>
    <row r="362" spans="1:10" x14ac:dyDescent="0.3">
      <c r="A362" t="str">
        <f t="shared" si="7"/>
        <v>59035_144</v>
      </c>
      <c r="B362">
        <f>VLOOKUP(C362,[1]lookuptable!$A$1:$C$7,2,0)</f>
        <v>59035</v>
      </c>
      <c r="C362" t="s">
        <v>9</v>
      </c>
      <c r="D362" s="1">
        <v>144</v>
      </c>
      <c r="E362">
        <v>0</v>
      </c>
      <c r="F362">
        <v>189</v>
      </c>
      <c r="G362">
        <v>189</v>
      </c>
      <c r="H362">
        <v>395</v>
      </c>
      <c r="I362" s="2">
        <v>47.848101270000001</v>
      </c>
      <c r="J362" cm="1">
        <f t="array" ref="J362">IF(AND(I362&gt;=0,I362&lt;=20),0,IF(AND(I362&gt;20,I362&lt;=40),1, IF(AND(I362&gt;40,I362&lt;=60),2,IF(AND(I362&gt;60,I362&lt;=80),3, IF(AND(I362&gt;80,I362&lt;=100),4,”5”)))))</f>
        <v>2</v>
      </c>
    </row>
    <row r="363" spans="1:10" x14ac:dyDescent="0.3">
      <c r="A363" t="str">
        <f t="shared" si="7"/>
        <v>59035_145</v>
      </c>
      <c r="B363">
        <f>VLOOKUP(C363,[1]lookuptable!$A$1:$C$7,2,0)</f>
        <v>59035</v>
      </c>
      <c r="C363" t="s">
        <v>9</v>
      </c>
      <c r="D363" s="1">
        <v>145</v>
      </c>
      <c r="E363">
        <v>0</v>
      </c>
      <c r="F363">
        <v>180</v>
      </c>
      <c r="G363">
        <v>180</v>
      </c>
      <c r="H363">
        <v>453</v>
      </c>
      <c r="I363" s="2">
        <v>39.735099339999998</v>
      </c>
      <c r="J363" cm="1">
        <f t="array" ref="J363">IF(AND(I363&gt;=0,I363&lt;=20),0,IF(AND(I363&gt;20,I363&lt;=40),1, IF(AND(I363&gt;40,I363&lt;=60),2,IF(AND(I363&gt;60,I363&lt;=80),3, IF(AND(I363&gt;80,I363&lt;=100),4,”5”)))))</f>
        <v>1</v>
      </c>
    </row>
    <row r="364" spans="1:10" x14ac:dyDescent="0.3">
      <c r="A364" t="str">
        <f t="shared" si="7"/>
        <v>59035_146</v>
      </c>
      <c r="B364">
        <f>VLOOKUP(C364,[1]lookuptable!$A$1:$C$7,2,0)</f>
        <v>59035</v>
      </c>
      <c r="C364" t="s">
        <v>9</v>
      </c>
      <c r="D364" s="1">
        <v>146</v>
      </c>
      <c r="E364">
        <v>0</v>
      </c>
      <c r="F364">
        <v>203</v>
      </c>
      <c r="G364">
        <v>203</v>
      </c>
      <c r="H364">
        <v>502</v>
      </c>
      <c r="I364" s="2">
        <v>40.438247009999998</v>
      </c>
      <c r="J364" cm="1">
        <f t="array" ref="J364">IF(AND(I364&gt;=0,I364&lt;=20),0,IF(AND(I364&gt;20,I364&lt;=40),1, IF(AND(I364&gt;40,I364&lt;=60),2,IF(AND(I364&gt;60,I364&lt;=80),3, IF(AND(I364&gt;80,I364&lt;=100),4,”5”)))))</f>
        <v>2</v>
      </c>
    </row>
    <row r="365" spans="1:10" x14ac:dyDescent="0.3">
      <c r="A365" t="str">
        <f t="shared" si="7"/>
        <v>59035_147</v>
      </c>
      <c r="B365">
        <f>VLOOKUP(C365,[1]lookuptable!$A$1:$C$7,2,0)</f>
        <v>59035</v>
      </c>
      <c r="C365" t="s">
        <v>9</v>
      </c>
      <c r="D365" s="1">
        <v>147</v>
      </c>
      <c r="E365">
        <v>0</v>
      </c>
      <c r="F365">
        <v>145</v>
      </c>
      <c r="G365">
        <v>145</v>
      </c>
      <c r="H365">
        <v>485</v>
      </c>
      <c r="I365" s="2">
        <v>29.896907219999999</v>
      </c>
      <c r="J365" cm="1">
        <f t="array" ref="J365">IF(AND(I365&gt;=0,I365&lt;=20),0,IF(AND(I365&gt;20,I365&lt;=40),1, IF(AND(I365&gt;40,I365&lt;=60),2,IF(AND(I365&gt;60,I365&lt;=80),3, IF(AND(I365&gt;80,I365&lt;=100),4,”5”)))))</f>
        <v>1</v>
      </c>
    </row>
    <row r="366" spans="1:10" x14ac:dyDescent="0.3">
      <c r="A366" t="str">
        <f t="shared" si="7"/>
        <v>59035_148</v>
      </c>
      <c r="B366">
        <f>VLOOKUP(C366,[1]lookuptable!$A$1:$C$7,2,0)</f>
        <v>59035</v>
      </c>
      <c r="C366" t="s">
        <v>9</v>
      </c>
      <c r="D366" s="1">
        <v>148</v>
      </c>
      <c r="E366">
        <v>0</v>
      </c>
      <c r="F366">
        <v>125</v>
      </c>
      <c r="G366">
        <v>125</v>
      </c>
      <c r="H366">
        <v>425</v>
      </c>
      <c r="I366" s="2">
        <v>29.41176471</v>
      </c>
      <c r="J366" cm="1">
        <f t="array" ref="J366">IF(AND(I366&gt;=0,I366&lt;=20),0,IF(AND(I366&gt;20,I366&lt;=40),1, IF(AND(I366&gt;40,I366&lt;=60),2,IF(AND(I366&gt;60,I366&lt;=80),3, IF(AND(I366&gt;80,I366&lt;=100),4,”5”)))))</f>
        <v>1</v>
      </c>
    </row>
    <row r="367" spans="1:10" x14ac:dyDescent="0.3">
      <c r="A367" t="str">
        <f t="shared" si="7"/>
        <v>59035_149</v>
      </c>
      <c r="B367">
        <f>VLOOKUP(C367,[1]lookuptable!$A$1:$C$7,2,0)</f>
        <v>59035</v>
      </c>
      <c r="C367" t="s">
        <v>9</v>
      </c>
      <c r="D367" s="1">
        <v>149</v>
      </c>
      <c r="E367">
        <v>0</v>
      </c>
      <c r="F367">
        <v>175</v>
      </c>
      <c r="G367">
        <v>175</v>
      </c>
      <c r="H367">
        <v>487</v>
      </c>
      <c r="I367" s="2">
        <v>35.93429158</v>
      </c>
      <c r="J367" cm="1">
        <f t="array" ref="J367">IF(AND(I367&gt;=0,I367&lt;=20),0,IF(AND(I367&gt;20,I367&lt;=40),1, IF(AND(I367&gt;40,I367&lt;=60),2,IF(AND(I367&gt;60,I367&lt;=80),3, IF(AND(I367&gt;80,I367&lt;=100),4,”5”)))))</f>
        <v>1</v>
      </c>
    </row>
    <row r="368" spans="1:10" x14ac:dyDescent="0.3">
      <c r="A368" t="str">
        <f t="shared" si="7"/>
        <v>59035_150</v>
      </c>
      <c r="B368">
        <f>VLOOKUP(C368,[1]lookuptable!$A$1:$C$7,2,0)</f>
        <v>59035</v>
      </c>
      <c r="C368" t="s">
        <v>9</v>
      </c>
      <c r="D368" s="1">
        <v>150</v>
      </c>
      <c r="E368">
        <v>2</v>
      </c>
      <c r="F368">
        <v>168</v>
      </c>
      <c r="G368">
        <v>170</v>
      </c>
      <c r="H368">
        <v>609</v>
      </c>
      <c r="I368" s="2">
        <v>27.91461412</v>
      </c>
      <c r="J368" cm="1">
        <f t="array" ref="J368">IF(AND(I368&gt;=0,I368&lt;=20),0,IF(AND(I368&gt;20,I368&lt;=40),1, IF(AND(I368&gt;40,I368&lt;=60),2,IF(AND(I368&gt;60,I368&lt;=80),3, IF(AND(I368&gt;80,I368&lt;=100),4,”5”)))))</f>
        <v>1</v>
      </c>
    </row>
    <row r="369" spans="1:10" x14ac:dyDescent="0.3">
      <c r="A369" t="str">
        <f t="shared" si="7"/>
        <v>59035_151</v>
      </c>
      <c r="B369">
        <f>VLOOKUP(C369,[1]lookuptable!$A$1:$C$7,2,0)</f>
        <v>59035</v>
      </c>
      <c r="C369" t="s">
        <v>9</v>
      </c>
      <c r="D369" s="1">
        <v>151</v>
      </c>
      <c r="E369">
        <v>4</v>
      </c>
      <c r="F369">
        <v>263</v>
      </c>
      <c r="G369">
        <v>267</v>
      </c>
      <c r="H369">
        <v>616</v>
      </c>
      <c r="I369" s="2">
        <v>43.344155839999999</v>
      </c>
      <c r="J369" cm="1">
        <f t="array" ref="J369">IF(AND(I369&gt;=0,I369&lt;=20),0,IF(AND(I369&gt;20,I369&lt;=40),1, IF(AND(I369&gt;40,I369&lt;=60),2,IF(AND(I369&gt;60,I369&lt;=80),3, IF(AND(I369&gt;80,I369&lt;=100),4,”5”)))))</f>
        <v>2</v>
      </c>
    </row>
    <row r="370" spans="1:10" x14ac:dyDescent="0.3">
      <c r="A370" t="str">
        <f t="shared" si="7"/>
        <v>59035_152</v>
      </c>
      <c r="B370">
        <f>VLOOKUP(C370,[1]lookuptable!$A$1:$C$7,2,0)</f>
        <v>59035</v>
      </c>
      <c r="C370" t="s">
        <v>9</v>
      </c>
      <c r="D370" s="1">
        <v>152</v>
      </c>
      <c r="E370">
        <v>1</v>
      </c>
      <c r="F370">
        <v>146</v>
      </c>
      <c r="G370">
        <v>147</v>
      </c>
      <c r="H370">
        <v>438</v>
      </c>
      <c r="I370" s="2">
        <v>33.561643840000002</v>
      </c>
      <c r="J370" cm="1">
        <f t="array" ref="J370">IF(AND(I370&gt;=0,I370&lt;=20),0,IF(AND(I370&gt;20,I370&lt;=40),1, IF(AND(I370&gt;40,I370&lt;=60),2,IF(AND(I370&gt;60,I370&lt;=80),3, IF(AND(I370&gt;80,I370&lt;=100),4,”5”)))))</f>
        <v>1</v>
      </c>
    </row>
    <row r="371" spans="1:10" x14ac:dyDescent="0.3">
      <c r="A371" t="str">
        <f t="shared" si="7"/>
        <v>59035_154</v>
      </c>
      <c r="B371">
        <f>VLOOKUP(C371,[1]lookuptable!$A$1:$C$7,2,0)</f>
        <v>59035</v>
      </c>
      <c r="C371" t="s">
        <v>9</v>
      </c>
      <c r="D371" s="1">
        <v>154</v>
      </c>
      <c r="E371">
        <v>0</v>
      </c>
      <c r="F371">
        <v>128</v>
      </c>
      <c r="G371">
        <v>128</v>
      </c>
      <c r="H371">
        <v>378</v>
      </c>
      <c r="I371" s="2">
        <v>33.862433860000003</v>
      </c>
      <c r="J371" cm="1">
        <f t="array" ref="J371">IF(AND(I371&gt;=0,I371&lt;=20),0,IF(AND(I371&gt;20,I371&lt;=40),1, IF(AND(I371&gt;40,I371&lt;=60),2,IF(AND(I371&gt;60,I371&lt;=80),3, IF(AND(I371&gt;80,I371&lt;=100),4,”5”)))))</f>
        <v>1</v>
      </c>
    </row>
    <row r="372" spans="1:10" x14ac:dyDescent="0.3">
      <c r="A372" t="str">
        <f t="shared" si="7"/>
        <v>59035_155</v>
      </c>
      <c r="B372">
        <f>VLOOKUP(C372,[1]lookuptable!$A$1:$C$7,2,0)</f>
        <v>59035</v>
      </c>
      <c r="C372" t="s">
        <v>9</v>
      </c>
      <c r="D372" s="1">
        <v>155</v>
      </c>
      <c r="E372">
        <v>1</v>
      </c>
      <c r="F372">
        <v>133</v>
      </c>
      <c r="G372">
        <v>134</v>
      </c>
      <c r="H372">
        <v>427</v>
      </c>
      <c r="I372" s="2">
        <v>31.381733019999999</v>
      </c>
      <c r="J372" cm="1">
        <f t="array" ref="J372">IF(AND(I372&gt;=0,I372&lt;=20),0,IF(AND(I372&gt;20,I372&lt;=40),1, IF(AND(I372&gt;40,I372&lt;=60),2,IF(AND(I372&gt;60,I372&lt;=80),3, IF(AND(I372&gt;80,I372&lt;=100),4,”5”)))))</f>
        <v>1</v>
      </c>
    </row>
    <row r="373" spans="1:10" x14ac:dyDescent="0.3">
      <c r="A373" t="str">
        <f t="shared" si="7"/>
        <v>59035_156</v>
      </c>
      <c r="B373">
        <f>VLOOKUP(C373,[1]lookuptable!$A$1:$C$7,2,0)</f>
        <v>59035</v>
      </c>
      <c r="C373" t="s">
        <v>9</v>
      </c>
      <c r="D373" s="1">
        <v>156</v>
      </c>
      <c r="E373">
        <v>1</v>
      </c>
      <c r="F373">
        <v>145</v>
      </c>
      <c r="G373">
        <v>146</v>
      </c>
      <c r="H373">
        <v>469</v>
      </c>
      <c r="I373" s="2">
        <v>31.130063969999998</v>
      </c>
      <c r="J373" cm="1">
        <f t="array" ref="J373">IF(AND(I373&gt;=0,I373&lt;=20),0,IF(AND(I373&gt;20,I373&lt;=40),1, IF(AND(I373&gt;40,I373&lt;=60),2,IF(AND(I373&gt;60,I373&lt;=80),3, IF(AND(I373&gt;80,I373&lt;=100),4,”5”)))))</f>
        <v>1</v>
      </c>
    </row>
    <row r="374" spans="1:10" x14ac:dyDescent="0.3">
      <c r="A374" t="str">
        <f t="shared" si="7"/>
        <v>59035_157</v>
      </c>
      <c r="B374">
        <f>VLOOKUP(C374,[1]lookuptable!$A$1:$C$7,2,0)</f>
        <v>59035</v>
      </c>
      <c r="C374" t="s">
        <v>9</v>
      </c>
      <c r="D374" s="1">
        <v>157</v>
      </c>
      <c r="E374">
        <v>0</v>
      </c>
      <c r="F374">
        <v>150</v>
      </c>
      <c r="G374">
        <v>150</v>
      </c>
      <c r="H374">
        <v>459</v>
      </c>
      <c r="I374" s="2">
        <v>32.679738559999997</v>
      </c>
      <c r="J374" cm="1">
        <f t="array" ref="J374">IF(AND(I374&gt;=0,I374&lt;=20),0,IF(AND(I374&gt;20,I374&lt;=40),1, IF(AND(I374&gt;40,I374&lt;=60),2,IF(AND(I374&gt;60,I374&lt;=80),3, IF(AND(I374&gt;80,I374&lt;=100),4,”5”)))))</f>
        <v>1</v>
      </c>
    </row>
    <row r="375" spans="1:10" x14ac:dyDescent="0.3">
      <c r="A375" t="str">
        <f t="shared" si="7"/>
        <v>59035_158</v>
      </c>
      <c r="B375">
        <f>VLOOKUP(C375,[1]lookuptable!$A$1:$C$7,2,0)</f>
        <v>59035</v>
      </c>
      <c r="C375" t="s">
        <v>9</v>
      </c>
      <c r="D375" s="1">
        <v>158</v>
      </c>
      <c r="E375">
        <v>2</v>
      </c>
      <c r="F375">
        <v>174</v>
      </c>
      <c r="G375">
        <v>176</v>
      </c>
      <c r="H375">
        <v>386</v>
      </c>
      <c r="I375" s="2">
        <v>45.595854920000001</v>
      </c>
      <c r="J375" cm="1">
        <f t="array" ref="J375">IF(AND(I375&gt;=0,I375&lt;=20),0,IF(AND(I375&gt;20,I375&lt;=40),1, IF(AND(I375&gt;40,I375&lt;=60),2,IF(AND(I375&gt;60,I375&lt;=80),3, IF(AND(I375&gt;80,I375&lt;=100),4,”5”)))))</f>
        <v>2</v>
      </c>
    </row>
    <row r="376" spans="1:10" x14ac:dyDescent="0.3">
      <c r="A376" t="str">
        <f t="shared" si="7"/>
        <v>59035_159</v>
      </c>
      <c r="B376">
        <f>VLOOKUP(C376,[1]lookuptable!$A$1:$C$7,2,0)</f>
        <v>59035</v>
      </c>
      <c r="C376" t="s">
        <v>9</v>
      </c>
      <c r="D376" s="1">
        <v>159</v>
      </c>
      <c r="E376">
        <v>2</v>
      </c>
      <c r="F376">
        <v>175</v>
      </c>
      <c r="G376">
        <v>177</v>
      </c>
      <c r="H376">
        <v>444</v>
      </c>
      <c r="I376" s="2">
        <v>39.864864859999997</v>
      </c>
      <c r="J376" cm="1">
        <f t="array" ref="J376">IF(AND(I376&gt;=0,I376&lt;=20),0,IF(AND(I376&gt;20,I376&lt;=40),1, IF(AND(I376&gt;40,I376&lt;=60),2,IF(AND(I376&gt;60,I376&lt;=80),3, IF(AND(I376&gt;80,I376&lt;=100),4,”5”)))))</f>
        <v>1</v>
      </c>
    </row>
    <row r="377" spans="1:10" x14ac:dyDescent="0.3">
      <c r="A377" t="str">
        <f t="shared" si="7"/>
        <v>59035_160</v>
      </c>
      <c r="B377">
        <f>VLOOKUP(C377,[1]lookuptable!$A$1:$C$7,2,0)</f>
        <v>59035</v>
      </c>
      <c r="C377" t="s">
        <v>9</v>
      </c>
      <c r="D377" s="1">
        <v>160</v>
      </c>
      <c r="E377">
        <v>0</v>
      </c>
      <c r="F377">
        <v>141</v>
      </c>
      <c r="G377">
        <v>141</v>
      </c>
      <c r="H377">
        <v>392</v>
      </c>
      <c r="I377" s="2">
        <v>35.969387759999996</v>
      </c>
      <c r="J377" cm="1">
        <f t="array" ref="J377">IF(AND(I377&gt;=0,I377&lt;=20),0,IF(AND(I377&gt;20,I377&lt;=40),1, IF(AND(I377&gt;40,I377&lt;=60),2,IF(AND(I377&gt;60,I377&lt;=80),3, IF(AND(I377&gt;80,I377&lt;=100),4,”5”)))))</f>
        <v>1</v>
      </c>
    </row>
    <row r="378" spans="1:10" x14ac:dyDescent="0.3">
      <c r="A378" t="str">
        <f t="shared" si="7"/>
        <v>59035_161</v>
      </c>
      <c r="B378">
        <f>VLOOKUP(C378,[1]lookuptable!$A$1:$C$7,2,0)</f>
        <v>59035</v>
      </c>
      <c r="C378" t="s">
        <v>9</v>
      </c>
      <c r="D378" s="1">
        <v>161</v>
      </c>
      <c r="E378">
        <v>2</v>
      </c>
      <c r="F378">
        <v>192</v>
      </c>
      <c r="G378">
        <v>194</v>
      </c>
      <c r="H378">
        <v>467</v>
      </c>
      <c r="I378" s="2">
        <v>41.541755889999997</v>
      </c>
      <c r="J378" cm="1">
        <f t="array" ref="J378">IF(AND(I378&gt;=0,I378&lt;=20),0,IF(AND(I378&gt;20,I378&lt;=40),1, IF(AND(I378&gt;40,I378&lt;=60),2,IF(AND(I378&gt;60,I378&lt;=80),3, IF(AND(I378&gt;80,I378&lt;=100),4,”5”)))))</f>
        <v>2</v>
      </c>
    </row>
    <row r="379" spans="1:10" x14ac:dyDescent="0.3">
      <c r="A379" t="str">
        <f t="shared" si="7"/>
        <v>59035_162</v>
      </c>
      <c r="B379">
        <f>VLOOKUP(C379,[1]lookuptable!$A$1:$C$7,2,0)</f>
        <v>59035</v>
      </c>
      <c r="C379" t="s">
        <v>9</v>
      </c>
      <c r="D379" s="1">
        <v>162</v>
      </c>
      <c r="E379">
        <v>1</v>
      </c>
      <c r="F379">
        <v>148</v>
      </c>
      <c r="G379">
        <v>149</v>
      </c>
      <c r="H379">
        <v>380</v>
      </c>
      <c r="I379" s="2">
        <v>39.21052632</v>
      </c>
      <c r="J379" cm="1">
        <f t="array" ref="J379">IF(AND(I379&gt;=0,I379&lt;=20),0,IF(AND(I379&gt;20,I379&lt;=40),1, IF(AND(I379&gt;40,I379&lt;=60),2,IF(AND(I379&gt;60,I379&lt;=80),3, IF(AND(I379&gt;80,I379&lt;=100),4,”5”)))))</f>
        <v>1</v>
      </c>
    </row>
    <row r="380" spans="1:10" x14ac:dyDescent="0.3">
      <c r="A380" t="str">
        <f t="shared" si="7"/>
        <v>59035_163</v>
      </c>
      <c r="B380">
        <f>VLOOKUP(C380,[1]lookuptable!$A$1:$C$7,2,0)</f>
        <v>59035</v>
      </c>
      <c r="C380" t="s">
        <v>9</v>
      </c>
      <c r="D380" s="1">
        <v>163</v>
      </c>
      <c r="E380">
        <v>3</v>
      </c>
      <c r="F380">
        <v>203</v>
      </c>
      <c r="G380">
        <v>206</v>
      </c>
      <c r="H380">
        <v>498</v>
      </c>
      <c r="I380" s="2">
        <v>41.365461850000003</v>
      </c>
      <c r="J380" cm="1">
        <f t="array" ref="J380">IF(AND(I380&gt;=0,I380&lt;=20),0,IF(AND(I380&gt;20,I380&lt;=40),1, IF(AND(I380&gt;40,I380&lt;=60),2,IF(AND(I380&gt;60,I380&lt;=80),3, IF(AND(I380&gt;80,I380&lt;=100),4,”5”)))))</f>
        <v>2</v>
      </c>
    </row>
    <row r="381" spans="1:10" x14ac:dyDescent="0.3">
      <c r="A381" t="str">
        <f t="shared" si="7"/>
        <v>59035_164</v>
      </c>
      <c r="B381">
        <f>VLOOKUP(C381,[1]lookuptable!$A$1:$C$7,2,0)</f>
        <v>59035</v>
      </c>
      <c r="C381" t="s">
        <v>9</v>
      </c>
      <c r="D381" s="1">
        <v>164</v>
      </c>
      <c r="E381">
        <v>1</v>
      </c>
      <c r="F381">
        <v>172</v>
      </c>
      <c r="G381">
        <v>173</v>
      </c>
      <c r="H381">
        <v>451</v>
      </c>
      <c r="I381" s="2">
        <v>38.359201769999999</v>
      </c>
      <c r="J381" cm="1">
        <f t="array" ref="J381">IF(AND(I381&gt;=0,I381&lt;=20),0,IF(AND(I381&gt;20,I381&lt;=40),1, IF(AND(I381&gt;40,I381&lt;=60),2,IF(AND(I381&gt;60,I381&lt;=80),3, IF(AND(I381&gt;80,I381&lt;=100),4,”5”)))))</f>
        <v>1</v>
      </c>
    </row>
    <row r="382" spans="1:10" x14ac:dyDescent="0.3">
      <c r="A382" t="str">
        <f t="shared" si="7"/>
        <v>59035_165</v>
      </c>
      <c r="B382">
        <f>VLOOKUP(C382,[1]lookuptable!$A$1:$C$7,2,0)</f>
        <v>59035</v>
      </c>
      <c r="C382" t="s">
        <v>9</v>
      </c>
      <c r="D382" s="1">
        <v>165</v>
      </c>
      <c r="E382">
        <v>3</v>
      </c>
      <c r="F382">
        <v>177</v>
      </c>
      <c r="G382">
        <v>180</v>
      </c>
      <c r="H382">
        <v>429</v>
      </c>
      <c r="I382" s="2">
        <v>41.958041960000003</v>
      </c>
      <c r="J382" cm="1">
        <f t="array" ref="J382">IF(AND(I382&gt;=0,I382&lt;=20),0,IF(AND(I382&gt;20,I382&lt;=40),1, IF(AND(I382&gt;40,I382&lt;=60),2,IF(AND(I382&gt;60,I382&lt;=80),3, IF(AND(I382&gt;80,I382&lt;=100),4,”5”)))))</f>
        <v>2</v>
      </c>
    </row>
    <row r="383" spans="1:10" x14ac:dyDescent="0.3">
      <c r="A383" t="str">
        <f t="shared" si="7"/>
        <v>59035_166</v>
      </c>
      <c r="B383">
        <f>VLOOKUP(C383,[1]lookuptable!$A$1:$C$7,2,0)</f>
        <v>59035</v>
      </c>
      <c r="C383" t="s">
        <v>9</v>
      </c>
      <c r="D383" s="1">
        <v>166</v>
      </c>
      <c r="E383">
        <v>0</v>
      </c>
      <c r="F383">
        <v>139</v>
      </c>
      <c r="G383">
        <v>139</v>
      </c>
      <c r="H383">
        <v>366</v>
      </c>
      <c r="I383" s="2">
        <v>37.978142079999998</v>
      </c>
      <c r="J383" cm="1">
        <f t="array" ref="J383">IF(AND(I383&gt;=0,I383&lt;=20),0,IF(AND(I383&gt;20,I383&lt;=40),1, IF(AND(I383&gt;40,I383&lt;=60),2,IF(AND(I383&gt;60,I383&lt;=80),3, IF(AND(I383&gt;80,I383&lt;=100),4,”5”)))))</f>
        <v>1</v>
      </c>
    </row>
    <row r="384" spans="1:10" x14ac:dyDescent="0.3">
      <c r="A384" t="str">
        <f t="shared" si="7"/>
        <v>59035_167</v>
      </c>
      <c r="B384">
        <f>VLOOKUP(C384,[1]lookuptable!$A$1:$C$7,2,0)</f>
        <v>59035</v>
      </c>
      <c r="C384" t="s">
        <v>9</v>
      </c>
      <c r="D384" s="1">
        <v>167</v>
      </c>
      <c r="E384">
        <v>3</v>
      </c>
      <c r="F384">
        <v>134</v>
      </c>
      <c r="G384">
        <v>137</v>
      </c>
      <c r="H384">
        <v>355</v>
      </c>
      <c r="I384" s="2">
        <v>38.591549299999997</v>
      </c>
      <c r="J384" cm="1">
        <f t="array" ref="J384">IF(AND(I384&gt;=0,I384&lt;=20),0,IF(AND(I384&gt;20,I384&lt;=40),1, IF(AND(I384&gt;40,I384&lt;=60),2,IF(AND(I384&gt;60,I384&lt;=80),3, IF(AND(I384&gt;80,I384&lt;=100),4,”5”)))))</f>
        <v>1</v>
      </c>
    </row>
    <row r="385" spans="1:10" x14ac:dyDescent="0.3">
      <c r="A385" t="str">
        <f t="shared" si="7"/>
        <v>59035_168</v>
      </c>
      <c r="B385">
        <f>VLOOKUP(C385,[1]lookuptable!$A$1:$C$7,2,0)</f>
        <v>59035</v>
      </c>
      <c r="C385" t="s">
        <v>9</v>
      </c>
      <c r="D385" s="1">
        <v>168</v>
      </c>
      <c r="E385">
        <v>1</v>
      </c>
      <c r="F385">
        <v>145</v>
      </c>
      <c r="G385">
        <v>146</v>
      </c>
      <c r="H385">
        <v>364</v>
      </c>
      <c r="I385" s="2">
        <v>40.109890110000002</v>
      </c>
      <c r="J385" cm="1">
        <f t="array" ref="J385">IF(AND(I385&gt;=0,I385&lt;=20),0,IF(AND(I385&gt;20,I385&lt;=40),1, IF(AND(I385&gt;40,I385&lt;=60),2,IF(AND(I385&gt;60,I385&lt;=80),3, IF(AND(I385&gt;80,I385&lt;=100),4,”5”)))))</f>
        <v>2</v>
      </c>
    </row>
    <row r="386" spans="1:10" x14ac:dyDescent="0.3">
      <c r="A386" t="str">
        <f t="shared" ref="A386:A449" si="8">CONCATENATE(B386,"_",D386)</f>
        <v>59035_169</v>
      </c>
      <c r="B386">
        <f>VLOOKUP(C386,[1]lookuptable!$A$1:$C$7,2,0)</f>
        <v>59035</v>
      </c>
      <c r="C386" t="s">
        <v>9</v>
      </c>
      <c r="D386" s="1">
        <v>169</v>
      </c>
      <c r="E386">
        <v>2</v>
      </c>
      <c r="F386">
        <v>165</v>
      </c>
      <c r="G386">
        <v>167</v>
      </c>
      <c r="H386">
        <v>430</v>
      </c>
      <c r="I386" s="2">
        <v>38.837209299999998</v>
      </c>
      <c r="J386" cm="1">
        <f t="array" ref="J386">IF(AND(I386&gt;=0,I386&lt;=20),0,IF(AND(I386&gt;20,I386&lt;=40),1, IF(AND(I386&gt;40,I386&lt;=60),2,IF(AND(I386&gt;60,I386&lt;=80),3, IF(AND(I386&gt;80,I386&lt;=100),4,”5”)))))</f>
        <v>1</v>
      </c>
    </row>
    <row r="387" spans="1:10" x14ac:dyDescent="0.3">
      <c r="A387" t="str">
        <f t="shared" si="8"/>
        <v>59035_170</v>
      </c>
      <c r="B387">
        <f>VLOOKUP(C387,[1]lookuptable!$A$1:$C$7,2,0)</f>
        <v>59035</v>
      </c>
      <c r="C387" t="s">
        <v>9</v>
      </c>
      <c r="D387" s="1">
        <v>170</v>
      </c>
      <c r="E387">
        <v>4</v>
      </c>
      <c r="F387">
        <v>203</v>
      </c>
      <c r="G387">
        <v>207</v>
      </c>
      <c r="H387">
        <v>446</v>
      </c>
      <c r="I387" s="2">
        <v>46.412556049999999</v>
      </c>
      <c r="J387" cm="1">
        <f t="array" ref="J387">IF(AND(I387&gt;=0,I387&lt;=20),0,IF(AND(I387&gt;20,I387&lt;=40),1, IF(AND(I387&gt;40,I387&lt;=60),2,IF(AND(I387&gt;60,I387&lt;=80),3, IF(AND(I387&gt;80,I387&lt;=100),4,”5”)))))</f>
        <v>2</v>
      </c>
    </row>
    <row r="388" spans="1:10" x14ac:dyDescent="0.3">
      <c r="A388" t="str">
        <f t="shared" si="8"/>
        <v>59035_171</v>
      </c>
      <c r="B388">
        <f>VLOOKUP(C388,[1]lookuptable!$A$1:$C$7,2,0)</f>
        <v>59035</v>
      </c>
      <c r="C388" t="s">
        <v>9</v>
      </c>
      <c r="D388" s="1">
        <v>171</v>
      </c>
      <c r="E388">
        <v>0</v>
      </c>
      <c r="F388">
        <v>159</v>
      </c>
      <c r="G388">
        <v>159</v>
      </c>
      <c r="H388">
        <v>371</v>
      </c>
      <c r="I388" s="2">
        <v>42.857142860000003</v>
      </c>
      <c r="J388" cm="1">
        <f t="array" ref="J388">IF(AND(I388&gt;=0,I388&lt;=20),0,IF(AND(I388&gt;20,I388&lt;=40),1, IF(AND(I388&gt;40,I388&lt;=60),2,IF(AND(I388&gt;60,I388&lt;=80),3, IF(AND(I388&gt;80,I388&lt;=100),4,”5”)))))</f>
        <v>2</v>
      </c>
    </row>
    <row r="389" spans="1:10" x14ac:dyDescent="0.3">
      <c r="A389" t="str">
        <f t="shared" si="8"/>
        <v>59035_172</v>
      </c>
      <c r="B389">
        <f>VLOOKUP(C389,[1]lookuptable!$A$1:$C$7,2,0)</f>
        <v>59035</v>
      </c>
      <c r="C389" t="s">
        <v>9</v>
      </c>
      <c r="D389" s="1">
        <v>172</v>
      </c>
      <c r="E389">
        <v>2</v>
      </c>
      <c r="F389">
        <v>144</v>
      </c>
      <c r="G389">
        <v>146</v>
      </c>
      <c r="H389">
        <v>334</v>
      </c>
      <c r="I389" s="2">
        <v>43.712574850000003</v>
      </c>
      <c r="J389" cm="1">
        <f t="array" ref="J389">IF(AND(I389&gt;=0,I389&lt;=20),0,IF(AND(I389&gt;20,I389&lt;=40),1, IF(AND(I389&gt;40,I389&lt;=60),2,IF(AND(I389&gt;60,I389&lt;=80),3, IF(AND(I389&gt;80,I389&lt;=100),4,”5”)))))</f>
        <v>2</v>
      </c>
    </row>
    <row r="390" spans="1:10" x14ac:dyDescent="0.3">
      <c r="A390" t="str">
        <f t="shared" si="8"/>
        <v>59035_173</v>
      </c>
      <c r="B390">
        <f>VLOOKUP(C390,[1]lookuptable!$A$1:$C$7,2,0)</f>
        <v>59035</v>
      </c>
      <c r="C390" t="s">
        <v>9</v>
      </c>
      <c r="D390" s="1">
        <v>173</v>
      </c>
      <c r="E390">
        <v>0</v>
      </c>
      <c r="F390">
        <v>171</v>
      </c>
      <c r="G390">
        <v>171</v>
      </c>
      <c r="H390">
        <v>423</v>
      </c>
      <c r="I390" s="2">
        <v>40.425531909999997</v>
      </c>
      <c r="J390" cm="1">
        <f t="array" ref="J390">IF(AND(I390&gt;=0,I390&lt;=20),0,IF(AND(I390&gt;20,I390&lt;=40),1, IF(AND(I390&gt;40,I390&lt;=60),2,IF(AND(I390&gt;60,I390&lt;=80),3, IF(AND(I390&gt;80,I390&lt;=100),4,”5”)))))</f>
        <v>2</v>
      </c>
    </row>
    <row r="391" spans="1:10" x14ac:dyDescent="0.3">
      <c r="A391" t="str">
        <f t="shared" si="8"/>
        <v>59035_174</v>
      </c>
      <c r="B391">
        <f>VLOOKUP(C391,[1]lookuptable!$A$1:$C$7,2,0)</f>
        <v>59035</v>
      </c>
      <c r="C391" t="s">
        <v>9</v>
      </c>
      <c r="D391" s="1">
        <v>174</v>
      </c>
      <c r="E391">
        <v>3</v>
      </c>
      <c r="F391">
        <v>175</v>
      </c>
      <c r="G391">
        <v>178</v>
      </c>
      <c r="H391">
        <v>425</v>
      </c>
      <c r="I391" s="2">
        <v>41.882352939999997</v>
      </c>
      <c r="J391" cm="1">
        <f t="array" ref="J391">IF(AND(I391&gt;=0,I391&lt;=20),0,IF(AND(I391&gt;20,I391&lt;=40),1, IF(AND(I391&gt;40,I391&lt;=60),2,IF(AND(I391&gt;60,I391&lt;=80),3, IF(AND(I391&gt;80,I391&lt;=100),4,”5”)))))</f>
        <v>2</v>
      </c>
    </row>
    <row r="392" spans="1:10" x14ac:dyDescent="0.3">
      <c r="A392" t="str">
        <f t="shared" si="8"/>
        <v>59035_175</v>
      </c>
      <c r="B392">
        <f>VLOOKUP(C392,[1]lookuptable!$A$1:$C$7,2,0)</f>
        <v>59035</v>
      </c>
      <c r="C392" t="s">
        <v>9</v>
      </c>
      <c r="D392" s="1">
        <v>175</v>
      </c>
      <c r="E392">
        <v>1</v>
      </c>
      <c r="F392">
        <v>196</v>
      </c>
      <c r="G392">
        <v>197</v>
      </c>
      <c r="H392">
        <v>507</v>
      </c>
      <c r="I392" s="2">
        <v>38.85601578</v>
      </c>
      <c r="J392" cm="1">
        <f t="array" ref="J392">IF(AND(I392&gt;=0,I392&lt;=20),0,IF(AND(I392&gt;20,I392&lt;=40),1, IF(AND(I392&gt;40,I392&lt;=60),2,IF(AND(I392&gt;60,I392&lt;=80),3, IF(AND(I392&gt;80,I392&lt;=100),4,”5”)))))</f>
        <v>1</v>
      </c>
    </row>
    <row r="393" spans="1:10" x14ac:dyDescent="0.3">
      <c r="A393" t="str">
        <f t="shared" si="8"/>
        <v>59035_176</v>
      </c>
      <c r="B393">
        <f>VLOOKUP(C393,[1]lookuptable!$A$1:$C$7,2,0)</f>
        <v>59035</v>
      </c>
      <c r="C393" t="s">
        <v>9</v>
      </c>
      <c r="D393" s="1">
        <v>176</v>
      </c>
      <c r="E393">
        <v>1</v>
      </c>
      <c r="F393">
        <v>112</v>
      </c>
      <c r="G393">
        <v>113</v>
      </c>
      <c r="H393">
        <v>375</v>
      </c>
      <c r="I393" s="2">
        <v>30.133333329999999</v>
      </c>
      <c r="J393" cm="1">
        <f t="array" ref="J393">IF(AND(I393&gt;=0,I393&lt;=20),0,IF(AND(I393&gt;20,I393&lt;=40),1, IF(AND(I393&gt;40,I393&lt;=60),2,IF(AND(I393&gt;60,I393&lt;=80),3, IF(AND(I393&gt;80,I393&lt;=100),4,”5”)))))</f>
        <v>1</v>
      </c>
    </row>
    <row r="394" spans="1:10" x14ac:dyDescent="0.3">
      <c r="A394" t="str">
        <f t="shared" si="8"/>
        <v>59035_177</v>
      </c>
      <c r="B394">
        <f>VLOOKUP(C394,[1]lookuptable!$A$1:$C$7,2,0)</f>
        <v>59035</v>
      </c>
      <c r="C394" t="s">
        <v>9</v>
      </c>
      <c r="D394" s="1">
        <v>177</v>
      </c>
      <c r="E394">
        <v>0</v>
      </c>
      <c r="F394">
        <v>171</v>
      </c>
      <c r="G394">
        <v>171</v>
      </c>
      <c r="H394">
        <v>517</v>
      </c>
      <c r="I394" s="2">
        <v>33.075435200000001</v>
      </c>
      <c r="J394" cm="1">
        <f t="array" ref="J394">IF(AND(I394&gt;=0,I394&lt;=20),0,IF(AND(I394&gt;20,I394&lt;=40),1, IF(AND(I394&gt;40,I394&lt;=60),2,IF(AND(I394&gt;60,I394&lt;=80),3, IF(AND(I394&gt;80,I394&lt;=100),4,”5”)))))</f>
        <v>1</v>
      </c>
    </row>
    <row r="395" spans="1:10" x14ac:dyDescent="0.3">
      <c r="A395" t="str">
        <f t="shared" si="8"/>
        <v>59035_178</v>
      </c>
      <c r="B395">
        <f>VLOOKUP(C395,[1]lookuptable!$A$1:$C$7,2,0)</f>
        <v>59035</v>
      </c>
      <c r="C395" t="s">
        <v>9</v>
      </c>
      <c r="D395" s="1">
        <v>178</v>
      </c>
      <c r="E395">
        <v>5</v>
      </c>
      <c r="F395">
        <v>194</v>
      </c>
      <c r="G395">
        <v>199</v>
      </c>
      <c r="H395">
        <v>524</v>
      </c>
      <c r="I395" s="2">
        <v>37.977099240000001</v>
      </c>
      <c r="J395" cm="1">
        <f t="array" ref="J395">IF(AND(I395&gt;=0,I395&lt;=20),0,IF(AND(I395&gt;20,I395&lt;=40),1, IF(AND(I395&gt;40,I395&lt;=60),2,IF(AND(I395&gt;60,I395&lt;=80),3, IF(AND(I395&gt;80,I395&lt;=100),4,”5”)))))</f>
        <v>1</v>
      </c>
    </row>
    <row r="396" spans="1:10" x14ac:dyDescent="0.3">
      <c r="A396" t="str">
        <f t="shared" si="8"/>
        <v>59035_179</v>
      </c>
      <c r="B396">
        <f>VLOOKUP(C396,[1]lookuptable!$A$1:$C$7,2,0)</f>
        <v>59035</v>
      </c>
      <c r="C396" t="s">
        <v>9</v>
      </c>
      <c r="D396" s="1">
        <v>179</v>
      </c>
      <c r="E396">
        <v>3</v>
      </c>
      <c r="F396">
        <v>177</v>
      </c>
      <c r="G396">
        <v>180</v>
      </c>
      <c r="H396">
        <v>491</v>
      </c>
      <c r="I396" s="2">
        <v>36.659877799999997</v>
      </c>
      <c r="J396" cm="1">
        <f t="array" ref="J396">IF(AND(I396&gt;=0,I396&lt;=20),0,IF(AND(I396&gt;20,I396&lt;=40),1, IF(AND(I396&gt;40,I396&lt;=60),2,IF(AND(I396&gt;60,I396&lt;=80),3, IF(AND(I396&gt;80,I396&lt;=100),4,”5”)))))</f>
        <v>1</v>
      </c>
    </row>
    <row r="397" spans="1:10" x14ac:dyDescent="0.3">
      <c r="A397" t="str">
        <f t="shared" si="8"/>
        <v>59035_180</v>
      </c>
      <c r="B397">
        <f>VLOOKUP(C397,[1]lookuptable!$A$1:$C$7,2,0)</f>
        <v>59035</v>
      </c>
      <c r="C397" t="s">
        <v>9</v>
      </c>
      <c r="D397" s="1">
        <v>180</v>
      </c>
      <c r="E397">
        <v>3</v>
      </c>
      <c r="F397">
        <v>129</v>
      </c>
      <c r="G397">
        <v>132</v>
      </c>
      <c r="H397">
        <v>441</v>
      </c>
      <c r="I397" s="2">
        <v>29.93197279</v>
      </c>
      <c r="J397" cm="1">
        <f t="array" ref="J397">IF(AND(I397&gt;=0,I397&lt;=20),0,IF(AND(I397&gt;20,I397&lt;=40),1, IF(AND(I397&gt;40,I397&lt;=60),2,IF(AND(I397&gt;60,I397&lt;=80),3, IF(AND(I397&gt;80,I397&lt;=100),4,”5”)))))</f>
        <v>1</v>
      </c>
    </row>
    <row r="398" spans="1:10" x14ac:dyDescent="0.3">
      <c r="A398" t="str">
        <f t="shared" si="8"/>
        <v>59035_181</v>
      </c>
      <c r="B398">
        <f>VLOOKUP(C398,[1]lookuptable!$A$1:$C$7,2,0)</f>
        <v>59035</v>
      </c>
      <c r="C398" t="s">
        <v>9</v>
      </c>
      <c r="D398" s="1">
        <v>181</v>
      </c>
      <c r="E398">
        <v>0</v>
      </c>
      <c r="F398">
        <v>153</v>
      </c>
      <c r="G398">
        <v>153</v>
      </c>
      <c r="H398">
        <v>402</v>
      </c>
      <c r="I398" s="2">
        <v>38.059701490000002</v>
      </c>
      <c r="J398" cm="1">
        <f t="array" ref="J398">IF(AND(I398&gt;=0,I398&lt;=20),0,IF(AND(I398&gt;20,I398&lt;=40),1, IF(AND(I398&gt;40,I398&lt;=60),2,IF(AND(I398&gt;60,I398&lt;=80),3, IF(AND(I398&gt;80,I398&lt;=100),4,”5”)))))</f>
        <v>1</v>
      </c>
    </row>
    <row r="399" spans="1:10" x14ac:dyDescent="0.3">
      <c r="A399" t="str">
        <f t="shared" si="8"/>
        <v>59035_182</v>
      </c>
      <c r="B399">
        <f>VLOOKUP(C399,[1]lookuptable!$A$1:$C$7,2,0)</f>
        <v>59035</v>
      </c>
      <c r="C399" t="s">
        <v>9</v>
      </c>
      <c r="D399" s="1">
        <v>182</v>
      </c>
      <c r="E399">
        <v>0</v>
      </c>
      <c r="F399">
        <v>131</v>
      </c>
      <c r="G399">
        <v>131</v>
      </c>
      <c r="H399">
        <v>431</v>
      </c>
      <c r="I399" s="2">
        <v>30.39443155</v>
      </c>
      <c r="J399" cm="1">
        <f t="array" ref="J399">IF(AND(I399&gt;=0,I399&lt;=20),0,IF(AND(I399&gt;20,I399&lt;=40),1, IF(AND(I399&gt;40,I399&lt;=60),2,IF(AND(I399&gt;60,I399&lt;=80),3, IF(AND(I399&gt;80,I399&lt;=100),4,”5”)))))</f>
        <v>1</v>
      </c>
    </row>
    <row r="400" spans="1:10" x14ac:dyDescent="0.3">
      <c r="A400" t="str">
        <f t="shared" si="8"/>
        <v>59035_183</v>
      </c>
      <c r="B400">
        <f>VLOOKUP(C400,[1]lookuptable!$A$1:$C$7,2,0)</f>
        <v>59035</v>
      </c>
      <c r="C400" t="s">
        <v>9</v>
      </c>
      <c r="D400" s="1">
        <v>183</v>
      </c>
      <c r="E400">
        <v>1</v>
      </c>
      <c r="F400">
        <v>145</v>
      </c>
      <c r="G400">
        <v>146</v>
      </c>
      <c r="H400">
        <v>453</v>
      </c>
      <c r="I400" s="2">
        <v>32.229580570000003</v>
      </c>
      <c r="J400" cm="1">
        <f t="array" ref="J400">IF(AND(I400&gt;=0,I400&lt;=20),0,IF(AND(I400&gt;20,I400&lt;=40),1, IF(AND(I400&gt;40,I400&lt;=60),2,IF(AND(I400&gt;60,I400&lt;=80),3, IF(AND(I400&gt;80,I400&lt;=100),4,”5”)))))</f>
        <v>1</v>
      </c>
    </row>
    <row r="401" spans="1:10" x14ac:dyDescent="0.3">
      <c r="A401" t="str">
        <f t="shared" si="8"/>
        <v>59035_184</v>
      </c>
      <c r="B401">
        <f>VLOOKUP(C401,[1]lookuptable!$A$1:$C$7,2,0)</f>
        <v>59035</v>
      </c>
      <c r="C401" t="s">
        <v>9</v>
      </c>
      <c r="D401" s="1">
        <v>184</v>
      </c>
      <c r="E401">
        <v>1</v>
      </c>
      <c r="F401">
        <v>93</v>
      </c>
      <c r="G401">
        <v>94</v>
      </c>
      <c r="H401">
        <v>437</v>
      </c>
      <c r="I401" s="2">
        <v>21.510297479999998</v>
      </c>
      <c r="J401" cm="1">
        <f t="array" ref="J401">IF(AND(I401&gt;=0,I401&lt;=20),0,IF(AND(I401&gt;20,I401&lt;=40),1, IF(AND(I401&gt;40,I401&lt;=60),2,IF(AND(I401&gt;60,I401&lt;=80),3, IF(AND(I401&gt;80,I401&lt;=100),4,”5”)))))</f>
        <v>1</v>
      </c>
    </row>
    <row r="402" spans="1:10" x14ac:dyDescent="0.3">
      <c r="A402" t="str">
        <f t="shared" si="8"/>
        <v>59035_185</v>
      </c>
      <c r="B402">
        <f>VLOOKUP(C402,[1]lookuptable!$A$1:$C$7,2,0)</f>
        <v>59035</v>
      </c>
      <c r="C402" t="s">
        <v>9</v>
      </c>
      <c r="D402" s="1">
        <v>185</v>
      </c>
      <c r="E402">
        <v>0</v>
      </c>
      <c r="F402">
        <v>202</v>
      </c>
      <c r="G402">
        <v>202</v>
      </c>
      <c r="H402">
        <v>484</v>
      </c>
      <c r="I402" s="2">
        <v>41.735537190000002</v>
      </c>
      <c r="J402" cm="1">
        <f t="array" ref="J402">IF(AND(I402&gt;=0,I402&lt;=20),0,IF(AND(I402&gt;20,I402&lt;=40),1, IF(AND(I402&gt;40,I402&lt;=60),2,IF(AND(I402&gt;60,I402&lt;=80),3, IF(AND(I402&gt;80,I402&lt;=100),4,”5”)))))</f>
        <v>2</v>
      </c>
    </row>
    <row r="403" spans="1:10" x14ac:dyDescent="0.3">
      <c r="A403" t="str">
        <f t="shared" si="8"/>
        <v>59035_186</v>
      </c>
      <c r="B403">
        <f>VLOOKUP(C403,[1]lookuptable!$A$1:$C$7,2,0)</f>
        <v>59035</v>
      </c>
      <c r="C403" t="s">
        <v>9</v>
      </c>
      <c r="D403" s="1">
        <v>186</v>
      </c>
      <c r="E403">
        <v>0</v>
      </c>
      <c r="F403">
        <v>148</v>
      </c>
      <c r="G403">
        <v>148</v>
      </c>
      <c r="H403">
        <v>461</v>
      </c>
      <c r="I403" s="2">
        <v>32.104121480000003</v>
      </c>
      <c r="J403" cm="1">
        <f t="array" ref="J403">IF(AND(I403&gt;=0,I403&lt;=20),0,IF(AND(I403&gt;20,I403&lt;=40),1, IF(AND(I403&gt;40,I403&lt;=60),2,IF(AND(I403&gt;60,I403&lt;=80),3, IF(AND(I403&gt;80,I403&lt;=100),4,”5”)))))</f>
        <v>1</v>
      </c>
    </row>
    <row r="404" spans="1:10" x14ac:dyDescent="0.3">
      <c r="A404" t="str">
        <f t="shared" si="8"/>
        <v>59035_187</v>
      </c>
      <c r="B404">
        <f>VLOOKUP(C404,[1]lookuptable!$A$1:$C$7,2,0)</f>
        <v>59035</v>
      </c>
      <c r="C404" t="s">
        <v>9</v>
      </c>
      <c r="D404" s="1">
        <v>187</v>
      </c>
      <c r="E404">
        <v>1</v>
      </c>
      <c r="F404">
        <v>146</v>
      </c>
      <c r="G404">
        <v>147</v>
      </c>
      <c r="H404">
        <v>394</v>
      </c>
      <c r="I404" s="2">
        <v>37.309644669999997</v>
      </c>
      <c r="J404" cm="1">
        <f t="array" ref="J404">IF(AND(I404&gt;=0,I404&lt;=20),0,IF(AND(I404&gt;20,I404&lt;=40),1, IF(AND(I404&gt;40,I404&lt;=60),2,IF(AND(I404&gt;60,I404&lt;=80),3, IF(AND(I404&gt;80,I404&lt;=100),4,”5”)))))</f>
        <v>1</v>
      </c>
    </row>
    <row r="405" spans="1:10" x14ac:dyDescent="0.3">
      <c r="A405" t="str">
        <f t="shared" si="8"/>
        <v>59035_188</v>
      </c>
      <c r="B405">
        <f>VLOOKUP(C405,[1]lookuptable!$A$1:$C$7,2,0)</f>
        <v>59035</v>
      </c>
      <c r="C405" t="s">
        <v>9</v>
      </c>
      <c r="D405" s="1">
        <v>188</v>
      </c>
      <c r="E405">
        <v>2</v>
      </c>
      <c r="F405">
        <v>130</v>
      </c>
      <c r="G405">
        <v>132</v>
      </c>
      <c r="H405">
        <v>422</v>
      </c>
      <c r="I405" s="2">
        <v>31.279620850000001</v>
      </c>
      <c r="J405" cm="1">
        <f t="array" ref="J405">IF(AND(I405&gt;=0,I405&lt;=20),0,IF(AND(I405&gt;20,I405&lt;=40),1, IF(AND(I405&gt;40,I405&lt;=60),2,IF(AND(I405&gt;60,I405&lt;=80),3, IF(AND(I405&gt;80,I405&lt;=100),4,”5”)))))</f>
        <v>1</v>
      </c>
    </row>
    <row r="406" spans="1:10" x14ac:dyDescent="0.3">
      <c r="A406" t="str">
        <f t="shared" si="8"/>
        <v>59035_189</v>
      </c>
      <c r="B406">
        <f>VLOOKUP(C406,[1]lookuptable!$A$1:$C$7,2,0)</f>
        <v>59035</v>
      </c>
      <c r="C406" t="s">
        <v>9</v>
      </c>
      <c r="D406" s="1">
        <v>189</v>
      </c>
      <c r="E406">
        <v>2</v>
      </c>
      <c r="F406">
        <v>118</v>
      </c>
      <c r="G406">
        <v>120</v>
      </c>
      <c r="H406">
        <v>425</v>
      </c>
      <c r="I406" s="2">
        <v>28.235294119999999</v>
      </c>
      <c r="J406" cm="1">
        <f t="array" ref="J406">IF(AND(I406&gt;=0,I406&lt;=20),0,IF(AND(I406&gt;20,I406&lt;=40),1, IF(AND(I406&gt;40,I406&lt;=60),2,IF(AND(I406&gt;60,I406&lt;=80),3, IF(AND(I406&gt;80,I406&lt;=100),4,”5”)))))</f>
        <v>1</v>
      </c>
    </row>
    <row r="407" spans="1:10" x14ac:dyDescent="0.3">
      <c r="A407" t="str">
        <f t="shared" si="8"/>
        <v>59035_190</v>
      </c>
      <c r="B407">
        <f>VLOOKUP(C407,[1]lookuptable!$A$1:$C$7,2,0)</f>
        <v>59035</v>
      </c>
      <c r="C407" t="s">
        <v>9</v>
      </c>
      <c r="D407" s="1">
        <v>190</v>
      </c>
      <c r="E407">
        <v>2</v>
      </c>
      <c r="F407">
        <v>129</v>
      </c>
      <c r="G407">
        <v>131</v>
      </c>
      <c r="H407">
        <v>421</v>
      </c>
      <c r="I407" s="2">
        <v>31.116389550000001</v>
      </c>
      <c r="J407" cm="1">
        <f t="array" ref="J407">IF(AND(I407&gt;=0,I407&lt;=20),0,IF(AND(I407&gt;20,I407&lt;=40),1, IF(AND(I407&gt;40,I407&lt;=60),2,IF(AND(I407&gt;60,I407&lt;=80),3, IF(AND(I407&gt;80,I407&lt;=100),4,”5”)))))</f>
        <v>1</v>
      </c>
    </row>
    <row r="408" spans="1:10" x14ac:dyDescent="0.3">
      <c r="A408" t="str">
        <f t="shared" si="8"/>
        <v>59035_191</v>
      </c>
      <c r="B408">
        <f>VLOOKUP(C408,[1]lookuptable!$A$1:$C$7,2,0)</f>
        <v>59035</v>
      </c>
      <c r="C408" t="s">
        <v>9</v>
      </c>
      <c r="D408" s="1">
        <v>191</v>
      </c>
      <c r="E408">
        <v>2</v>
      </c>
      <c r="F408">
        <v>123</v>
      </c>
      <c r="G408">
        <v>125</v>
      </c>
      <c r="H408">
        <v>400</v>
      </c>
      <c r="I408" s="2">
        <v>31.25</v>
      </c>
      <c r="J408" cm="1">
        <f t="array" ref="J408">IF(AND(I408&gt;=0,I408&lt;=20),0,IF(AND(I408&gt;20,I408&lt;=40),1, IF(AND(I408&gt;40,I408&lt;=60),2,IF(AND(I408&gt;60,I408&lt;=80),3, IF(AND(I408&gt;80,I408&lt;=100),4,”5”)))))</f>
        <v>1</v>
      </c>
    </row>
    <row r="409" spans="1:10" x14ac:dyDescent="0.3">
      <c r="A409" t="str">
        <f t="shared" si="8"/>
        <v>59035_192</v>
      </c>
      <c r="B409">
        <f>VLOOKUP(C409,[1]lookuptable!$A$1:$C$7,2,0)</f>
        <v>59035</v>
      </c>
      <c r="C409" t="s">
        <v>9</v>
      </c>
      <c r="D409" s="1">
        <v>192</v>
      </c>
      <c r="E409">
        <v>4</v>
      </c>
      <c r="F409">
        <v>129</v>
      </c>
      <c r="G409">
        <v>133</v>
      </c>
      <c r="H409">
        <v>474</v>
      </c>
      <c r="I409" s="2">
        <v>28.059071729999999</v>
      </c>
      <c r="J409" cm="1">
        <f t="array" ref="J409">IF(AND(I409&gt;=0,I409&lt;=20),0,IF(AND(I409&gt;20,I409&lt;=40),1, IF(AND(I409&gt;40,I409&lt;=60),2,IF(AND(I409&gt;60,I409&lt;=80),3, IF(AND(I409&gt;80,I409&lt;=100),4,”5”)))))</f>
        <v>1</v>
      </c>
    </row>
    <row r="410" spans="1:10" x14ac:dyDescent="0.3">
      <c r="A410" t="str">
        <f t="shared" si="8"/>
        <v>59035_193</v>
      </c>
      <c r="B410">
        <f>VLOOKUP(C410,[1]lookuptable!$A$1:$C$7,2,0)</f>
        <v>59035</v>
      </c>
      <c r="C410" t="s">
        <v>9</v>
      </c>
      <c r="D410" s="1">
        <v>193</v>
      </c>
      <c r="E410">
        <v>1</v>
      </c>
      <c r="F410">
        <v>128</v>
      </c>
      <c r="G410">
        <v>129</v>
      </c>
      <c r="H410">
        <v>565</v>
      </c>
      <c r="I410" s="2">
        <v>22.831858409999999</v>
      </c>
      <c r="J410" cm="1">
        <f t="array" ref="J410">IF(AND(I410&gt;=0,I410&lt;=20),0,IF(AND(I410&gt;20,I410&lt;=40),1, IF(AND(I410&gt;40,I410&lt;=60),2,IF(AND(I410&gt;60,I410&lt;=80),3, IF(AND(I410&gt;80,I410&lt;=100),4,”5”)))))</f>
        <v>1</v>
      </c>
    </row>
    <row r="411" spans="1:10" x14ac:dyDescent="0.3">
      <c r="A411" t="str">
        <f t="shared" si="8"/>
        <v>59035_194</v>
      </c>
      <c r="B411">
        <f>VLOOKUP(C411,[1]lookuptable!$A$1:$C$7,2,0)</f>
        <v>59035</v>
      </c>
      <c r="C411" t="s">
        <v>9</v>
      </c>
      <c r="D411" s="1">
        <v>194</v>
      </c>
      <c r="E411">
        <v>0</v>
      </c>
      <c r="F411">
        <v>158</v>
      </c>
      <c r="G411">
        <v>158</v>
      </c>
      <c r="H411">
        <v>492</v>
      </c>
      <c r="I411" s="2">
        <v>32.113821139999999</v>
      </c>
      <c r="J411" cm="1">
        <f t="array" ref="J411">IF(AND(I411&gt;=0,I411&lt;=20),0,IF(AND(I411&gt;20,I411&lt;=40),1, IF(AND(I411&gt;40,I411&lt;=60),2,IF(AND(I411&gt;60,I411&lt;=80),3, IF(AND(I411&gt;80,I411&lt;=100),4,”5”)))))</f>
        <v>1</v>
      </c>
    </row>
    <row r="412" spans="1:10" x14ac:dyDescent="0.3">
      <c r="A412" t="str">
        <f t="shared" si="8"/>
        <v>59035_195</v>
      </c>
      <c r="B412">
        <f>VLOOKUP(C412,[1]lookuptable!$A$1:$C$7,2,0)</f>
        <v>59035</v>
      </c>
      <c r="C412" t="s">
        <v>9</v>
      </c>
      <c r="D412" s="1">
        <v>195</v>
      </c>
      <c r="E412">
        <v>0</v>
      </c>
      <c r="F412">
        <v>99</v>
      </c>
      <c r="G412">
        <v>99</v>
      </c>
      <c r="H412">
        <v>372</v>
      </c>
      <c r="I412" s="2">
        <v>26.612903230000001</v>
      </c>
      <c r="J412" cm="1">
        <f t="array" ref="J412">IF(AND(I412&gt;=0,I412&lt;=20),0,IF(AND(I412&gt;20,I412&lt;=40),1, IF(AND(I412&gt;40,I412&lt;=60),2,IF(AND(I412&gt;60,I412&lt;=80),3, IF(AND(I412&gt;80,I412&lt;=100),4,”5”)))))</f>
        <v>1</v>
      </c>
    </row>
    <row r="413" spans="1:10" x14ac:dyDescent="0.3">
      <c r="A413" t="str">
        <f t="shared" si="8"/>
        <v>59035_196</v>
      </c>
      <c r="B413">
        <f>VLOOKUP(C413,[1]lookuptable!$A$1:$C$7,2,0)</f>
        <v>59035</v>
      </c>
      <c r="C413" t="s">
        <v>9</v>
      </c>
      <c r="D413" s="1">
        <v>196</v>
      </c>
      <c r="E413">
        <v>1</v>
      </c>
      <c r="F413">
        <v>105</v>
      </c>
      <c r="G413">
        <v>106</v>
      </c>
      <c r="H413">
        <v>406</v>
      </c>
      <c r="I413" s="2">
        <v>26.108374380000001</v>
      </c>
      <c r="J413" cm="1">
        <f t="array" ref="J413">IF(AND(I413&gt;=0,I413&lt;=20),0,IF(AND(I413&gt;20,I413&lt;=40),1, IF(AND(I413&gt;40,I413&lt;=60),2,IF(AND(I413&gt;60,I413&lt;=80),3, IF(AND(I413&gt;80,I413&lt;=100),4,”5”)))))</f>
        <v>1</v>
      </c>
    </row>
    <row r="414" spans="1:10" x14ac:dyDescent="0.3">
      <c r="A414" t="str">
        <f t="shared" si="8"/>
        <v>59035_197</v>
      </c>
      <c r="B414">
        <f>VLOOKUP(C414,[1]lookuptable!$A$1:$C$7,2,0)</f>
        <v>59035</v>
      </c>
      <c r="C414" t="s">
        <v>9</v>
      </c>
      <c r="D414" s="1">
        <v>197</v>
      </c>
      <c r="E414">
        <v>0</v>
      </c>
      <c r="F414">
        <v>155</v>
      </c>
      <c r="G414">
        <v>155</v>
      </c>
      <c r="H414">
        <v>498</v>
      </c>
      <c r="I414" s="2">
        <v>31.124497989999998</v>
      </c>
      <c r="J414" cm="1">
        <f t="array" ref="J414">IF(AND(I414&gt;=0,I414&lt;=20),0,IF(AND(I414&gt;20,I414&lt;=40),1, IF(AND(I414&gt;40,I414&lt;=60),2,IF(AND(I414&gt;60,I414&lt;=80),3, IF(AND(I414&gt;80,I414&lt;=100),4,”5”)))))</f>
        <v>1</v>
      </c>
    </row>
    <row r="415" spans="1:10" x14ac:dyDescent="0.3">
      <c r="A415" t="str">
        <f t="shared" si="8"/>
        <v>59035_198</v>
      </c>
      <c r="B415">
        <f>VLOOKUP(C415,[1]lookuptable!$A$1:$C$7,2,0)</f>
        <v>59035</v>
      </c>
      <c r="C415" t="s">
        <v>9</v>
      </c>
      <c r="D415" s="1">
        <v>198</v>
      </c>
      <c r="E415">
        <v>7</v>
      </c>
      <c r="F415">
        <v>214</v>
      </c>
      <c r="G415">
        <v>221</v>
      </c>
      <c r="H415">
        <v>410</v>
      </c>
      <c r="I415" s="2">
        <v>53.902439020000003</v>
      </c>
      <c r="J415" cm="1">
        <f t="array" ref="J415">IF(AND(I415&gt;=0,I415&lt;=20),0,IF(AND(I415&gt;20,I415&lt;=40),1, IF(AND(I415&gt;40,I415&lt;=60),2,IF(AND(I415&gt;60,I415&lt;=80),3, IF(AND(I415&gt;80,I415&lt;=100),4,”5”)))))</f>
        <v>2</v>
      </c>
    </row>
    <row r="416" spans="1:10" x14ac:dyDescent="0.3">
      <c r="A416" t="str">
        <f t="shared" si="8"/>
        <v>59035_199</v>
      </c>
      <c r="B416">
        <f>VLOOKUP(C416,[1]lookuptable!$A$1:$C$7,2,0)</f>
        <v>59035</v>
      </c>
      <c r="C416" t="s">
        <v>9</v>
      </c>
      <c r="D416" s="1">
        <v>199</v>
      </c>
      <c r="E416">
        <v>4</v>
      </c>
      <c r="F416">
        <v>158</v>
      </c>
      <c r="G416">
        <v>162</v>
      </c>
      <c r="H416">
        <v>460</v>
      </c>
      <c r="I416" s="2">
        <v>35.217391300000003</v>
      </c>
      <c r="J416" cm="1">
        <f t="array" ref="J416">IF(AND(I416&gt;=0,I416&lt;=20),0,IF(AND(I416&gt;20,I416&lt;=40),1, IF(AND(I416&gt;40,I416&lt;=60),2,IF(AND(I416&gt;60,I416&lt;=80),3, IF(AND(I416&gt;80,I416&lt;=100),4,”5”)))))</f>
        <v>1</v>
      </c>
    </row>
    <row r="417" spans="1:10" x14ac:dyDescent="0.3">
      <c r="A417" t="str">
        <f t="shared" si="8"/>
        <v>59035_200</v>
      </c>
      <c r="B417">
        <f>VLOOKUP(C417,[1]lookuptable!$A$1:$C$7,2,0)</f>
        <v>59035</v>
      </c>
      <c r="C417" t="s">
        <v>9</v>
      </c>
      <c r="D417" s="1">
        <v>200</v>
      </c>
      <c r="E417">
        <v>2</v>
      </c>
      <c r="F417">
        <v>150</v>
      </c>
      <c r="G417">
        <v>152</v>
      </c>
      <c r="H417">
        <v>485</v>
      </c>
      <c r="I417" s="2">
        <v>31.34020619</v>
      </c>
      <c r="J417" cm="1">
        <f t="array" ref="J417">IF(AND(I417&gt;=0,I417&lt;=20),0,IF(AND(I417&gt;20,I417&lt;=40),1, IF(AND(I417&gt;40,I417&lt;=60),2,IF(AND(I417&gt;60,I417&lt;=80),3, IF(AND(I417&gt;80,I417&lt;=100),4,”5”)))))</f>
        <v>1</v>
      </c>
    </row>
    <row r="418" spans="1:10" x14ac:dyDescent="0.3">
      <c r="A418" t="str">
        <f t="shared" si="8"/>
        <v>59035_201</v>
      </c>
      <c r="B418">
        <f>VLOOKUP(C418,[1]lookuptable!$A$1:$C$7,2,0)</f>
        <v>59035</v>
      </c>
      <c r="C418" t="s">
        <v>9</v>
      </c>
      <c r="D418" s="1">
        <v>201</v>
      </c>
      <c r="E418">
        <v>3</v>
      </c>
      <c r="F418">
        <v>199</v>
      </c>
      <c r="G418">
        <v>202</v>
      </c>
      <c r="H418">
        <v>442</v>
      </c>
      <c r="I418" s="2">
        <v>45.701357469999998</v>
      </c>
      <c r="J418" cm="1">
        <f t="array" ref="J418">IF(AND(I418&gt;=0,I418&lt;=20),0,IF(AND(I418&gt;20,I418&lt;=40),1, IF(AND(I418&gt;40,I418&lt;=60),2,IF(AND(I418&gt;60,I418&lt;=80),3, IF(AND(I418&gt;80,I418&lt;=100),4,”5”)))))</f>
        <v>2</v>
      </c>
    </row>
    <row r="419" spans="1:10" x14ac:dyDescent="0.3">
      <c r="A419" t="str">
        <f t="shared" si="8"/>
        <v>59035_202</v>
      </c>
      <c r="B419">
        <f>VLOOKUP(C419,[1]lookuptable!$A$1:$C$7,2,0)</f>
        <v>59035</v>
      </c>
      <c r="C419" t="s">
        <v>9</v>
      </c>
      <c r="D419" s="1">
        <v>202</v>
      </c>
      <c r="E419">
        <v>1</v>
      </c>
      <c r="F419">
        <v>116</v>
      </c>
      <c r="G419">
        <v>117</v>
      </c>
      <c r="H419">
        <v>395</v>
      </c>
      <c r="I419" s="2">
        <v>29.620253160000001</v>
      </c>
      <c r="J419" cm="1">
        <f t="array" ref="J419">IF(AND(I419&gt;=0,I419&lt;=20),0,IF(AND(I419&gt;20,I419&lt;=40),1, IF(AND(I419&gt;40,I419&lt;=60),2,IF(AND(I419&gt;60,I419&lt;=80),3, IF(AND(I419&gt;80,I419&lt;=100),4,”5”)))))</f>
        <v>1</v>
      </c>
    </row>
    <row r="420" spans="1:10" x14ac:dyDescent="0.3">
      <c r="A420" t="str">
        <f t="shared" si="8"/>
        <v>59035_203</v>
      </c>
      <c r="B420">
        <f>VLOOKUP(C420,[1]lookuptable!$A$1:$C$7,2,0)</f>
        <v>59035</v>
      </c>
      <c r="C420" t="s">
        <v>9</v>
      </c>
      <c r="D420" s="1">
        <v>203</v>
      </c>
      <c r="E420">
        <v>2</v>
      </c>
      <c r="F420">
        <v>200</v>
      </c>
      <c r="G420">
        <v>202</v>
      </c>
      <c r="H420">
        <v>511</v>
      </c>
      <c r="I420" s="2">
        <v>39.530332680000001</v>
      </c>
      <c r="J420" cm="1">
        <f t="array" ref="J420">IF(AND(I420&gt;=0,I420&lt;=20),0,IF(AND(I420&gt;20,I420&lt;=40),1, IF(AND(I420&gt;40,I420&lt;=60),2,IF(AND(I420&gt;60,I420&lt;=80),3, IF(AND(I420&gt;80,I420&lt;=100),4,”5”)))))</f>
        <v>1</v>
      </c>
    </row>
    <row r="421" spans="1:10" x14ac:dyDescent="0.3">
      <c r="A421" t="str">
        <f t="shared" si="8"/>
        <v>59035_502</v>
      </c>
      <c r="B421">
        <f>VLOOKUP(C421,[1]lookuptable!$A$1:$C$7,2,0)</f>
        <v>59035</v>
      </c>
      <c r="C421" t="s">
        <v>9</v>
      </c>
      <c r="D421" s="1">
        <v>502</v>
      </c>
      <c r="E421">
        <v>5</v>
      </c>
      <c r="F421">
        <v>0</v>
      </c>
      <c r="G421">
        <v>0</v>
      </c>
      <c r="H421">
        <v>64</v>
      </c>
      <c r="I421" s="2">
        <f t="shared" ref="I421:I427" si="9">((E421+G421)/H421)*100</f>
        <v>7.8125</v>
      </c>
      <c r="J421" cm="1">
        <f t="array" ref="J421">IF(AND(I421&gt;=0,I421&lt;=20),0,IF(AND(I421&gt;20,I421&lt;=40),1, IF(AND(I421&gt;40,I421&lt;=60),2,IF(AND(I421&gt;60,I421&lt;=80),3, IF(AND(I421&gt;80,I421&lt;=100),4,”5”)))))</f>
        <v>0</v>
      </c>
    </row>
    <row r="422" spans="1:10" x14ac:dyDescent="0.3">
      <c r="A422" t="str">
        <f t="shared" si="8"/>
        <v>59035_503</v>
      </c>
      <c r="B422">
        <f>VLOOKUP(C422,[1]lookuptable!$A$1:$C$7,2,0)</f>
        <v>59035</v>
      </c>
      <c r="C422" t="s">
        <v>9</v>
      </c>
      <c r="D422" s="1">
        <v>503</v>
      </c>
      <c r="E422">
        <v>10</v>
      </c>
      <c r="F422">
        <v>0</v>
      </c>
      <c r="G422">
        <v>0</v>
      </c>
      <c r="H422">
        <v>11</v>
      </c>
      <c r="I422" s="2">
        <f t="shared" si="9"/>
        <v>90.909090909090907</v>
      </c>
      <c r="J422" cm="1">
        <f t="array" ref="J422">IF(AND(I422&gt;=0,I422&lt;=20),0,IF(AND(I422&gt;20,I422&lt;=40),1, IF(AND(I422&gt;40,I422&lt;=60),2,IF(AND(I422&gt;60,I422&lt;=80),3, IF(AND(I422&gt;80,I422&lt;=100),4,”5”)))))</f>
        <v>4</v>
      </c>
    </row>
    <row r="423" spans="1:10" x14ac:dyDescent="0.3">
      <c r="A423" t="str">
        <f t="shared" si="8"/>
        <v>59035_504</v>
      </c>
      <c r="B423">
        <f>VLOOKUP(C423,[1]lookuptable!$A$1:$C$7,2,0)</f>
        <v>59035</v>
      </c>
      <c r="C423" t="s">
        <v>9</v>
      </c>
      <c r="D423" s="1">
        <v>504</v>
      </c>
      <c r="E423">
        <v>10</v>
      </c>
      <c r="F423">
        <v>0</v>
      </c>
      <c r="G423">
        <v>0</v>
      </c>
      <c r="H423">
        <v>44</v>
      </c>
      <c r="I423" s="2">
        <f t="shared" si="9"/>
        <v>22.727272727272727</v>
      </c>
      <c r="J423" cm="1">
        <f t="array" ref="J423">IF(AND(I423&gt;=0,I423&lt;=20),0,IF(AND(I423&gt;20,I423&lt;=40),1, IF(AND(I423&gt;40,I423&lt;=60),2,IF(AND(I423&gt;60,I423&lt;=80),3, IF(AND(I423&gt;80,I423&lt;=100),4,”5”)))))</f>
        <v>1</v>
      </c>
    </row>
    <row r="424" spans="1:10" x14ac:dyDescent="0.3">
      <c r="A424" t="str">
        <f t="shared" si="8"/>
        <v>59035_505</v>
      </c>
      <c r="B424">
        <f>VLOOKUP(C424,[1]lookuptable!$A$1:$C$7,2,0)</f>
        <v>59035</v>
      </c>
      <c r="C424" t="s">
        <v>9</v>
      </c>
      <c r="D424" s="1">
        <v>505</v>
      </c>
      <c r="E424">
        <v>10</v>
      </c>
      <c r="F424">
        <v>0</v>
      </c>
      <c r="G424">
        <v>0</v>
      </c>
      <c r="H424">
        <v>21</v>
      </c>
      <c r="I424" s="2">
        <f t="shared" si="9"/>
        <v>47.619047619047613</v>
      </c>
      <c r="J424" cm="1">
        <f t="array" ref="J424">IF(AND(I424&gt;=0,I424&lt;=20),0,IF(AND(I424&gt;20,I424&lt;=40),1, IF(AND(I424&gt;40,I424&lt;=60),2,IF(AND(I424&gt;60,I424&lt;=80),3, IF(AND(I424&gt;80,I424&lt;=100),4,”5”)))))</f>
        <v>2</v>
      </c>
    </row>
    <row r="425" spans="1:10" x14ac:dyDescent="0.3">
      <c r="A425" t="str">
        <f t="shared" si="8"/>
        <v>59035_506</v>
      </c>
      <c r="B425">
        <f>VLOOKUP(C425,[1]lookuptable!$A$1:$C$7,2,0)</f>
        <v>59035</v>
      </c>
      <c r="C425" t="s">
        <v>9</v>
      </c>
      <c r="D425" s="1">
        <v>506</v>
      </c>
      <c r="E425">
        <v>10</v>
      </c>
      <c r="F425">
        <v>0</v>
      </c>
      <c r="G425">
        <v>0</v>
      </c>
      <c r="H425">
        <v>53</v>
      </c>
      <c r="I425" s="2">
        <f t="shared" si="9"/>
        <v>18.867924528301888</v>
      </c>
      <c r="J425" cm="1">
        <f t="array" ref="J425">IF(AND(I425&gt;=0,I425&lt;=20),0,IF(AND(I425&gt;20,I425&lt;=40),1, IF(AND(I425&gt;40,I425&lt;=60),2,IF(AND(I425&gt;60,I425&lt;=80),3, IF(AND(I425&gt;80,I425&lt;=100),4,”5”)))))</f>
        <v>0</v>
      </c>
    </row>
    <row r="426" spans="1:10" x14ac:dyDescent="0.3">
      <c r="A426" t="str">
        <f t="shared" si="8"/>
        <v>59035_507</v>
      </c>
      <c r="B426">
        <f>VLOOKUP(C426,[1]lookuptable!$A$1:$C$7,2,0)</f>
        <v>59035</v>
      </c>
      <c r="C426" t="s">
        <v>9</v>
      </c>
      <c r="D426" s="1">
        <v>507</v>
      </c>
      <c r="E426">
        <v>10</v>
      </c>
      <c r="F426">
        <v>0</v>
      </c>
      <c r="G426">
        <v>0</v>
      </c>
      <c r="H426">
        <v>48</v>
      </c>
      <c r="I426" s="2">
        <f t="shared" si="9"/>
        <v>20.833333333333336</v>
      </c>
      <c r="J426" cm="1">
        <f t="array" ref="J426">IF(AND(I426&gt;=0,I426&lt;=20),0,IF(AND(I426&gt;20,I426&lt;=40),1, IF(AND(I426&gt;40,I426&lt;=60),2,IF(AND(I426&gt;60,I426&lt;=80),3, IF(AND(I426&gt;80,I426&lt;=100),4,”5”)))))</f>
        <v>1</v>
      </c>
    </row>
    <row r="427" spans="1:10" x14ac:dyDescent="0.3">
      <c r="A427" t="str">
        <f t="shared" si="8"/>
        <v>59035_509</v>
      </c>
      <c r="B427">
        <f>VLOOKUP(C427,[1]lookuptable!$A$1:$C$7,2,0)</f>
        <v>59035</v>
      </c>
      <c r="C427" t="s">
        <v>9</v>
      </c>
      <c r="D427" s="1">
        <v>509</v>
      </c>
      <c r="E427">
        <v>38</v>
      </c>
      <c r="F427">
        <v>0</v>
      </c>
      <c r="G427">
        <v>0</v>
      </c>
      <c r="H427">
        <v>64</v>
      </c>
      <c r="I427" s="2">
        <f t="shared" si="9"/>
        <v>59.375</v>
      </c>
      <c r="J427" cm="1">
        <f t="array" ref="J427">IF(AND(I427&gt;=0,I427&lt;=20),0,IF(AND(I427&gt;20,I427&lt;=40),1, IF(AND(I427&gt;40,I427&lt;=60),2,IF(AND(I427&gt;60,I427&lt;=80),3, IF(AND(I427&gt;80,I427&lt;=100),4,”5”)))))</f>
        <v>2</v>
      </c>
    </row>
    <row r="428" spans="1:10" x14ac:dyDescent="0.3">
      <c r="A428" t="str">
        <f t="shared" si="8"/>
        <v>59035_512</v>
      </c>
      <c r="B428">
        <f>VLOOKUP(C428,[1]lookuptable!$A$1:$C$7,2,0)</f>
        <v>59035</v>
      </c>
      <c r="C428" t="s">
        <v>9</v>
      </c>
      <c r="D428" s="1">
        <v>512</v>
      </c>
      <c r="E428">
        <v>3</v>
      </c>
      <c r="F428">
        <v>37</v>
      </c>
      <c r="G428">
        <v>40</v>
      </c>
      <c r="H428">
        <v>59</v>
      </c>
      <c r="I428" s="2">
        <v>67.796610169999994</v>
      </c>
      <c r="J428" cm="1">
        <f t="array" ref="J428">IF(AND(I428&gt;=0,I428&lt;=20),0,IF(AND(I428&gt;20,I428&lt;=40),1, IF(AND(I428&gt;40,I428&lt;=60),2,IF(AND(I428&gt;60,I428&lt;=80),3, IF(AND(I428&gt;80,I428&lt;=100),4,”5”)))))</f>
        <v>3</v>
      </c>
    </row>
    <row r="429" spans="1:10" x14ac:dyDescent="0.3">
      <c r="A429" t="str">
        <f t="shared" si="8"/>
        <v>59036_1</v>
      </c>
      <c r="B429">
        <f>VLOOKUP(C429,[1]lookuptable!$A$1:$C$7,2,0)</f>
        <v>59036</v>
      </c>
      <c r="C429" t="s">
        <v>12</v>
      </c>
      <c r="D429" s="1">
        <v>1</v>
      </c>
      <c r="E429">
        <v>0</v>
      </c>
      <c r="F429">
        <v>112</v>
      </c>
      <c r="G429">
        <v>112</v>
      </c>
      <c r="H429">
        <v>474</v>
      </c>
      <c r="I429" s="2">
        <v>23.628691979999999</v>
      </c>
      <c r="J429" cm="1">
        <f t="array" ref="J429">IF(AND(I429&gt;=0,I429&lt;=20),0,IF(AND(I429&gt;20,I429&lt;=40),1, IF(AND(I429&gt;40,I429&lt;=60),2,IF(AND(I429&gt;60,I429&lt;=80),3, IF(AND(I429&gt;80,I429&lt;=100),4,”5”)))))</f>
        <v>1</v>
      </c>
    </row>
    <row r="430" spans="1:10" x14ac:dyDescent="0.3">
      <c r="A430" t="str">
        <f t="shared" si="8"/>
        <v>59036_2</v>
      </c>
      <c r="B430">
        <f>VLOOKUP(C430,[1]lookuptable!$A$1:$C$7,2,0)</f>
        <v>59036</v>
      </c>
      <c r="C430" t="s">
        <v>12</v>
      </c>
      <c r="D430" s="1">
        <v>2</v>
      </c>
      <c r="E430">
        <v>2</v>
      </c>
      <c r="F430">
        <v>149</v>
      </c>
      <c r="G430">
        <v>151</v>
      </c>
      <c r="H430">
        <v>409</v>
      </c>
      <c r="I430" s="2">
        <v>36.919315400000002</v>
      </c>
      <c r="J430" cm="1">
        <f t="array" ref="J430">IF(AND(I430&gt;=0,I430&lt;=20),0,IF(AND(I430&gt;20,I430&lt;=40),1, IF(AND(I430&gt;40,I430&lt;=60),2,IF(AND(I430&gt;60,I430&lt;=80),3, IF(AND(I430&gt;80,I430&lt;=100),4,”5”)))))</f>
        <v>1</v>
      </c>
    </row>
    <row r="431" spans="1:10" x14ac:dyDescent="0.3">
      <c r="A431" t="str">
        <f t="shared" si="8"/>
        <v>59036_3</v>
      </c>
      <c r="B431">
        <f>VLOOKUP(C431,[1]lookuptable!$A$1:$C$7,2,0)</f>
        <v>59036</v>
      </c>
      <c r="C431" t="s">
        <v>12</v>
      </c>
      <c r="D431" s="1">
        <v>3</v>
      </c>
      <c r="E431">
        <v>1</v>
      </c>
      <c r="F431">
        <v>169</v>
      </c>
      <c r="G431">
        <v>170</v>
      </c>
      <c r="H431">
        <v>459</v>
      </c>
      <c r="I431" s="2">
        <v>37.037037040000001</v>
      </c>
      <c r="J431" cm="1">
        <f t="array" ref="J431">IF(AND(I431&gt;=0,I431&lt;=20),0,IF(AND(I431&gt;20,I431&lt;=40),1, IF(AND(I431&gt;40,I431&lt;=60),2,IF(AND(I431&gt;60,I431&lt;=80),3, IF(AND(I431&gt;80,I431&lt;=100),4,”5”)))))</f>
        <v>1</v>
      </c>
    </row>
    <row r="432" spans="1:10" x14ac:dyDescent="0.3">
      <c r="A432" t="str">
        <f t="shared" si="8"/>
        <v>59036_4</v>
      </c>
      <c r="B432">
        <f>VLOOKUP(C432,[1]lookuptable!$A$1:$C$7,2,0)</f>
        <v>59036</v>
      </c>
      <c r="C432" t="s">
        <v>12</v>
      </c>
      <c r="D432" s="1">
        <v>4</v>
      </c>
      <c r="E432">
        <v>0</v>
      </c>
      <c r="F432">
        <v>152</v>
      </c>
      <c r="G432">
        <v>152</v>
      </c>
      <c r="H432">
        <v>392</v>
      </c>
      <c r="I432" s="2">
        <v>38.775510199999999</v>
      </c>
      <c r="J432" cm="1">
        <f t="array" ref="J432">IF(AND(I432&gt;=0,I432&lt;=20),0,IF(AND(I432&gt;20,I432&lt;=40),1, IF(AND(I432&gt;40,I432&lt;=60),2,IF(AND(I432&gt;60,I432&lt;=80),3, IF(AND(I432&gt;80,I432&lt;=100),4,”5”)))))</f>
        <v>1</v>
      </c>
    </row>
    <row r="433" spans="1:10" x14ac:dyDescent="0.3">
      <c r="A433" t="str">
        <f t="shared" si="8"/>
        <v>59036_5</v>
      </c>
      <c r="B433">
        <f>VLOOKUP(C433,[1]lookuptable!$A$1:$C$7,2,0)</f>
        <v>59036</v>
      </c>
      <c r="C433" t="s">
        <v>12</v>
      </c>
      <c r="D433" s="1">
        <v>5</v>
      </c>
      <c r="E433">
        <v>0</v>
      </c>
      <c r="F433">
        <v>143</v>
      </c>
      <c r="G433">
        <v>143</v>
      </c>
      <c r="H433">
        <v>447</v>
      </c>
      <c r="I433" s="2">
        <v>31.991051450000001</v>
      </c>
      <c r="J433" cm="1">
        <f t="array" ref="J433">IF(AND(I433&gt;=0,I433&lt;=20),0,IF(AND(I433&gt;20,I433&lt;=40),1, IF(AND(I433&gt;40,I433&lt;=60),2,IF(AND(I433&gt;60,I433&lt;=80),3, IF(AND(I433&gt;80,I433&lt;=100),4,”5”)))))</f>
        <v>1</v>
      </c>
    </row>
    <row r="434" spans="1:10" x14ac:dyDescent="0.3">
      <c r="A434" t="str">
        <f t="shared" si="8"/>
        <v>59036_6</v>
      </c>
      <c r="B434">
        <f>VLOOKUP(C434,[1]lookuptable!$A$1:$C$7,2,0)</f>
        <v>59036</v>
      </c>
      <c r="C434" t="s">
        <v>12</v>
      </c>
      <c r="D434" s="1">
        <v>6</v>
      </c>
      <c r="E434">
        <v>2</v>
      </c>
      <c r="F434">
        <v>145</v>
      </c>
      <c r="G434">
        <v>147</v>
      </c>
      <c r="H434">
        <v>415</v>
      </c>
      <c r="I434" s="2">
        <v>35.421686749999999</v>
      </c>
      <c r="J434" cm="1">
        <f t="array" ref="J434">IF(AND(I434&gt;=0,I434&lt;=20),0,IF(AND(I434&gt;20,I434&lt;=40),1, IF(AND(I434&gt;40,I434&lt;=60),2,IF(AND(I434&gt;60,I434&lt;=80),3, IF(AND(I434&gt;80,I434&lt;=100),4,”5”)))))</f>
        <v>1</v>
      </c>
    </row>
    <row r="435" spans="1:10" x14ac:dyDescent="0.3">
      <c r="A435" t="str">
        <f t="shared" si="8"/>
        <v>59036_7</v>
      </c>
      <c r="B435">
        <f>VLOOKUP(C435,[1]lookuptable!$A$1:$C$7,2,0)</f>
        <v>59036</v>
      </c>
      <c r="C435" t="s">
        <v>12</v>
      </c>
      <c r="D435" s="1">
        <v>7</v>
      </c>
      <c r="E435">
        <v>0</v>
      </c>
      <c r="F435">
        <v>158</v>
      </c>
      <c r="G435">
        <v>158</v>
      </c>
      <c r="H435">
        <v>473</v>
      </c>
      <c r="I435" s="2">
        <v>33.403805499999997</v>
      </c>
      <c r="J435" cm="1">
        <f t="array" ref="J435">IF(AND(I435&gt;=0,I435&lt;=20),0,IF(AND(I435&gt;20,I435&lt;=40),1, IF(AND(I435&gt;40,I435&lt;=60),2,IF(AND(I435&gt;60,I435&lt;=80),3, IF(AND(I435&gt;80,I435&lt;=100),4,”5”)))))</f>
        <v>1</v>
      </c>
    </row>
    <row r="436" spans="1:10" x14ac:dyDescent="0.3">
      <c r="A436" t="str">
        <f t="shared" si="8"/>
        <v>59036_8</v>
      </c>
      <c r="B436">
        <f>VLOOKUP(C436,[1]lookuptable!$A$1:$C$7,2,0)</f>
        <v>59036</v>
      </c>
      <c r="C436" t="s">
        <v>12</v>
      </c>
      <c r="D436" s="1">
        <v>8</v>
      </c>
      <c r="E436">
        <v>0</v>
      </c>
      <c r="F436">
        <v>139</v>
      </c>
      <c r="G436">
        <v>139</v>
      </c>
      <c r="H436">
        <v>413</v>
      </c>
      <c r="I436" s="2">
        <v>33.656174329999999</v>
      </c>
      <c r="J436" cm="1">
        <f t="array" ref="J436">IF(AND(I436&gt;=0,I436&lt;=20),0,IF(AND(I436&gt;20,I436&lt;=40),1, IF(AND(I436&gt;40,I436&lt;=60),2,IF(AND(I436&gt;60,I436&lt;=80),3, IF(AND(I436&gt;80,I436&lt;=100),4,”5”)))))</f>
        <v>1</v>
      </c>
    </row>
    <row r="437" spans="1:10" x14ac:dyDescent="0.3">
      <c r="A437" t="str">
        <f t="shared" si="8"/>
        <v>59036_9</v>
      </c>
      <c r="B437">
        <f>VLOOKUP(C437,[1]lookuptable!$A$1:$C$7,2,0)</f>
        <v>59036</v>
      </c>
      <c r="C437" t="s">
        <v>12</v>
      </c>
      <c r="D437" s="1">
        <v>9</v>
      </c>
      <c r="E437">
        <v>1</v>
      </c>
      <c r="F437">
        <v>218</v>
      </c>
      <c r="G437">
        <v>219</v>
      </c>
      <c r="H437">
        <v>516</v>
      </c>
      <c r="I437" s="2">
        <v>42.441860470000002</v>
      </c>
      <c r="J437" cm="1">
        <f t="array" ref="J437">IF(AND(I437&gt;=0,I437&lt;=20),0,IF(AND(I437&gt;20,I437&lt;=40),1, IF(AND(I437&gt;40,I437&lt;=60),2,IF(AND(I437&gt;60,I437&lt;=80),3, IF(AND(I437&gt;80,I437&lt;=100),4,”5”)))))</f>
        <v>2</v>
      </c>
    </row>
    <row r="438" spans="1:10" x14ac:dyDescent="0.3">
      <c r="A438" t="str">
        <f t="shared" si="8"/>
        <v>59036_10</v>
      </c>
      <c r="B438">
        <f>VLOOKUP(C438,[1]lookuptable!$A$1:$C$7,2,0)</f>
        <v>59036</v>
      </c>
      <c r="C438" t="s">
        <v>12</v>
      </c>
      <c r="D438" s="1">
        <v>10</v>
      </c>
      <c r="E438">
        <v>0</v>
      </c>
      <c r="F438">
        <v>220</v>
      </c>
      <c r="G438">
        <v>220</v>
      </c>
      <c r="H438">
        <v>597</v>
      </c>
      <c r="I438" s="2">
        <v>36.850921270000001</v>
      </c>
      <c r="J438" cm="1">
        <f t="array" ref="J438">IF(AND(I438&gt;=0,I438&lt;=20),0,IF(AND(I438&gt;20,I438&lt;=40),1, IF(AND(I438&gt;40,I438&lt;=60),2,IF(AND(I438&gt;60,I438&lt;=80),3, IF(AND(I438&gt;80,I438&lt;=100),4,”5”)))))</f>
        <v>1</v>
      </c>
    </row>
    <row r="439" spans="1:10" x14ac:dyDescent="0.3">
      <c r="A439" t="str">
        <f t="shared" si="8"/>
        <v>59036_11</v>
      </c>
      <c r="B439">
        <f>VLOOKUP(C439,[1]lookuptable!$A$1:$C$7,2,0)</f>
        <v>59036</v>
      </c>
      <c r="C439" t="s">
        <v>12</v>
      </c>
      <c r="D439" s="1">
        <v>11</v>
      </c>
      <c r="E439">
        <v>1</v>
      </c>
      <c r="F439">
        <v>198</v>
      </c>
      <c r="G439">
        <v>199</v>
      </c>
      <c r="H439">
        <v>549</v>
      </c>
      <c r="I439" s="2">
        <v>36.247723129999997</v>
      </c>
      <c r="J439" cm="1">
        <f t="array" ref="J439">IF(AND(I439&gt;=0,I439&lt;=20),0,IF(AND(I439&gt;20,I439&lt;=40),1, IF(AND(I439&gt;40,I439&lt;=60),2,IF(AND(I439&gt;60,I439&lt;=80),3, IF(AND(I439&gt;80,I439&lt;=100),4,”5”)))))</f>
        <v>1</v>
      </c>
    </row>
    <row r="440" spans="1:10" x14ac:dyDescent="0.3">
      <c r="A440" t="str">
        <f t="shared" si="8"/>
        <v>59036_12</v>
      </c>
      <c r="B440">
        <f>VLOOKUP(C440,[1]lookuptable!$A$1:$C$7,2,0)</f>
        <v>59036</v>
      </c>
      <c r="C440" t="s">
        <v>12</v>
      </c>
      <c r="D440" s="1">
        <v>12</v>
      </c>
      <c r="E440">
        <v>0</v>
      </c>
      <c r="F440">
        <v>136</v>
      </c>
      <c r="G440">
        <v>136</v>
      </c>
      <c r="H440">
        <v>481</v>
      </c>
      <c r="I440" s="2">
        <v>28.274428270000001</v>
      </c>
      <c r="J440" cm="1">
        <f t="array" ref="J440">IF(AND(I440&gt;=0,I440&lt;=20),0,IF(AND(I440&gt;20,I440&lt;=40),1, IF(AND(I440&gt;40,I440&lt;=60),2,IF(AND(I440&gt;60,I440&lt;=80),3, IF(AND(I440&gt;80,I440&lt;=100),4,”5”)))))</f>
        <v>1</v>
      </c>
    </row>
    <row r="441" spans="1:10" x14ac:dyDescent="0.3">
      <c r="A441" t="str">
        <f t="shared" si="8"/>
        <v>59036_13</v>
      </c>
      <c r="B441">
        <f>VLOOKUP(C441,[1]lookuptable!$A$1:$C$7,2,0)</f>
        <v>59036</v>
      </c>
      <c r="C441" t="s">
        <v>12</v>
      </c>
      <c r="D441" s="1">
        <v>13</v>
      </c>
      <c r="E441">
        <v>0</v>
      </c>
      <c r="F441">
        <v>212</v>
      </c>
      <c r="G441">
        <v>212</v>
      </c>
      <c r="H441">
        <v>510</v>
      </c>
      <c r="I441" s="2">
        <v>41.568627450000001</v>
      </c>
      <c r="J441" cm="1">
        <f t="array" ref="J441">IF(AND(I441&gt;=0,I441&lt;=20),0,IF(AND(I441&gt;20,I441&lt;=40),1, IF(AND(I441&gt;40,I441&lt;=60),2,IF(AND(I441&gt;60,I441&lt;=80),3, IF(AND(I441&gt;80,I441&lt;=100),4,”5”)))))</f>
        <v>2</v>
      </c>
    </row>
    <row r="442" spans="1:10" x14ac:dyDescent="0.3">
      <c r="A442" t="str">
        <f t="shared" si="8"/>
        <v>59036_14</v>
      </c>
      <c r="B442">
        <f>VLOOKUP(C442,[1]lookuptable!$A$1:$C$7,2,0)</f>
        <v>59036</v>
      </c>
      <c r="C442" t="s">
        <v>12</v>
      </c>
      <c r="D442" s="1">
        <v>14</v>
      </c>
      <c r="E442">
        <v>0</v>
      </c>
      <c r="F442">
        <v>127</v>
      </c>
      <c r="G442">
        <v>127</v>
      </c>
      <c r="H442">
        <v>481</v>
      </c>
      <c r="I442" s="2">
        <v>26.403326400000001</v>
      </c>
      <c r="J442" cm="1">
        <f t="array" ref="J442">IF(AND(I442&gt;=0,I442&lt;=20),0,IF(AND(I442&gt;20,I442&lt;=40),1, IF(AND(I442&gt;40,I442&lt;=60),2,IF(AND(I442&gt;60,I442&lt;=80),3, IF(AND(I442&gt;80,I442&lt;=100),4,”5”)))))</f>
        <v>1</v>
      </c>
    </row>
    <row r="443" spans="1:10" x14ac:dyDescent="0.3">
      <c r="A443" t="str">
        <f t="shared" si="8"/>
        <v>59036_15</v>
      </c>
      <c r="B443">
        <f>VLOOKUP(C443,[1]lookuptable!$A$1:$C$7,2,0)</f>
        <v>59036</v>
      </c>
      <c r="C443" t="s">
        <v>12</v>
      </c>
      <c r="D443" s="1">
        <v>15</v>
      </c>
      <c r="E443">
        <v>0</v>
      </c>
      <c r="F443">
        <v>110</v>
      </c>
      <c r="G443">
        <v>110</v>
      </c>
      <c r="H443">
        <v>379</v>
      </c>
      <c r="I443" s="2">
        <v>29.0237467</v>
      </c>
      <c r="J443" cm="1">
        <f t="array" ref="J443">IF(AND(I443&gt;=0,I443&lt;=20),0,IF(AND(I443&gt;20,I443&lt;=40),1, IF(AND(I443&gt;40,I443&lt;=60),2,IF(AND(I443&gt;60,I443&lt;=80),3, IF(AND(I443&gt;80,I443&lt;=100),4,”5”)))))</f>
        <v>1</v>
      </c>
    </row>
    <row r="444" spans="1:10" x14ac:dyDescent="0.3">
      <c r="A444" t="str">
        <f t="shared" si="8"/>
        <v>59036_16</v>
      </c>
      <c r="B444">
        <f>VLOOKUP(C444,[1]lookuptable!$A$1:$C$7,2,0)</f>
        <v>59036</v>
      </c>
      <c r="C444" t="s">
        <v>12</v>
      </c>
      <c r="D444" s="1">
        <v>16</v>
      </c>
      <c r="E444">
        <v>0</v>
      </c>
      <c r="F444">
        <v>153</v>
      </c>
      <c r="G444">
        <v>153</v>
      </c>
      <c r="H444">
        <v>478</v>
      </c>
      <c r="I444" s="2">
        <v>32.0083682</v>
      </c>
      <c r="J444" cm="1">
        <f t="array" ref="J444">IF(AND(I444&gt;=0,I444&lt;=20),0,IF(AND(I444&gt;20,I444&lt;=40),1, IF(AND(I444&gt;40,I444&lt;=60),2,IF(AND(I444&gt;60,I444&lt;=80),3, IF(AND(I444&gt;80,I444&lt;=100),4,”5”)))))</f>
        <v>1</v>
      </c>
    </row>
    <row r="445" spans="1:10" x14ac:dyDescent="0.3">
      <c r="A445" t="str">
        <f t="shared" si="8"/>
        <v>59036_17</v>
      </c>
      <c r="B445">
        <f>VLOOKUP(C445,[1]lookuptable!$A$1:$C$7,2,0)</f>
        <v>59036</v>
      </c>
      <c r="C445" t="s">
        <v>12</v>
      </c>
      <c r="D445" s="1">
        <v>17</v>
      </c>
      <c r="E445">
        <v>0</v>
      </c>
      <c r="F445">
        <v>164</v>
      </c>
      <c r="G445">
        <v>164</v>
      </c>
      <c r="H445">
        <v>434</v>
      </c>
      <c r="I445" s="2">
        <v>37.788018430000001</v>
      </c>
      <c r="J445" cm="1">
        <f t="array" ref="J445">IF(AND(I445&gt;=0,I445&lt;=20),0,IF(AND(I445&gt;20,I445&lt;=40),1, IF(AND(I445&gt;40,I445&lt;=60),2,IF(AND(I445&gt;60,I445&lt;=80),3, IF(AND(I445&gt;80,I445&lt;=100),4,”5”)))))</f>
        <v>1</v>
      </c>
    </row>
    <row r="446" spans="1:10" x14ac:dyDescent="0.3">
      <c r="A446" t="str">
        <f t="shared" si="8"/>
        <v>59036_18</v>
      </c>
      <c r="B446">
        <f>VLOOKUP(C446,[1]lookuptable!$A$1:$C$7,2,0)</f>
        <v>59036</v>
      </c>
      <c r="C446" t="s">
        <v>12</v>
      </c>
      <c r="D446" s="1">
        <v>18</v>
      </c>
      <c r="E446">
        <v>0</v>
      </c>
      <c r="F446">
        <v>150</v>
      </c>
      <c r="G446">
        <v>150</v>
      </c>
      <c r="H446">
        <v>442</v>
      </c>
      <c r="I446" s="2">
        <v>33.936651580000003</v>
      </c>
      <c r="J446" cm="1">
        <f t="array" ref="J446">IF(AND(I446&gt;=0,I446&lt;=20),0,IF(AND(I446&gt;20,I446&lt;=40),1, IF(AND(I446&gt;40,I446&lt;=60),2,IF(AND(I446&gt;60,I446&lt;=80),3, IF(AND(I446&gt;80,I446&lt;=100),4,”5”)))))</f>
        <v>1</v>
      </c>
    </row>
    <row r="447" spans="1:10" x14ac:dyDescent="0.3">
      <c r="A447" t="str">
        <f t="shared" si="8"/>
        <v>59036_19</v>
      </c>
      <c r="B447">
        <f>VLOOKUP(C447,[1]lookuptable!$A$1:$C$7,2,0)</f>
        <v>59036</v>
      </c>
      <c r="C447" t="s">
        <v>12</v>
      </c>
      <c r="D447" s="1">
        <v>19</v>
      </c>
      <c r="E447">
        <v>0</v>
      </c>
      <c r="F447">
        <v>195</v>
      </c>
      <c r="G447">
        <v>195</v>
      </c>
      <c r="H447">
        <v>478</v>
      </c>
      <c r="I447" s="2">
        <v>40.794979079999997</v>
      </c>
      <c r="J447" cm="1">
        <f t="array" ref="J447">IF(AND(I447&gt;=0,I447&lt;=20),0,IF(AND(I447&gt;20,I447&lt;=40),1, IF(AND(I447&gt;40,I447&lt;=60),2,IF(AND(I447&gt;60,I447&lt;=80),3, IF(AND(I447&gt;80,I447&lt;=100),4,”5”)))))</f>
        <v>2</v>
      </c>
    </row>
    <row r="448" spans="1:10" x14ac:dyDescent="0.3">
      <c r="A448" t="str">
        <f t="shared" si="8"/>
        <v>59036_20</v>
      </c>
      <c r="B448">
        <f>VLOOKUP(C448,[1]lookuptable!$A$1:$C$7,2,0)</f>
        <v>59036</v>
      </c>
      <c r="C448" t="s">
        <v>12</v>
      </c>
      <c r="D448" s="1">
        <v>20</v>
      </c>
      <c r="E448">
        <v>1</v>
      </c>
      <c r="F448">
        <v>206</v>
      </c>
      <c r="G448">
        <v>207</v>
      </c>
      <c r="H448">
        <v>537</v>
      </c>
      <c r="I448" s="2">
        <v>38.547486030000002</v>
      </c>
      <c r="J448" cm="1">
        <f t="array" ref="J448">IF(AND(I448&gt;=0,I448&lt;=20),0,IF(AND(I448&gt;20,I448&lt;=40),1, IF(AND(I448&gt;40,I448&lt;=60),2,IF(AND(I448&gt;60,I448&lt;=80),3, IF(AND(I448&gt;80,I448&lt;=100),4,”5”)))))</f>
        <v>1</v>
      </c>
    </row>
    <row r="449" spans="1:10" x14ac:dyDescent="0.3">
      <c r="A449" t="str">
        <f t="shared" si="8"/>
        <v>59036_21</v>
      </c>
      <c r="B449">
        <f>VLOOKUP(C449,[1]lookuptable!$A$1:$C$7,2,0)</f>
        <v>59036</v>
      </c>
      <c r="C449" t="s">
        <v>12</v>
      </c>
      <c r="D449" s="1">
        <v>21</v>
      </c>
      <c r="E449">
        <v>0</v>
      </c>
      <c r="F449">
        <v>182</v>
      </c>
      <c r="G449">
        <v>182</v>
      </c>
      <c r="H449">
        <v>504</v>
      </c>
      <c r="I449" s="2">
        <v>36.111111110000003</v>
      </c>
      <c r="J449" cm="1">
        <f t="array" ref="J449">IF(AND(I449&gt;=0,I449&lt;=20),0,IF(AND(I449&gt;20,I449&lt;=40),1, IF(AND(I449&gt;40,I449&lt;=60),2,IF(AND(I449&gt;60,I449&lt;=80),3, IF(AND(I449&gt;80,I449&lt;=100),4,”5”)))))</f>
        <v>1</v>
      </c>
    </row>
    <row r="450" spans="1:10" x14ac:dyDescent="0.3">
      <c r="A450" t="str">
        <f t="shared" ref="A450:A513" si="10">CONCATENATE(B450,"_",D450)</f>
        <v>59036_22</v>
      </c>
      <c r="B450">
        <f>VLOOKUP(C450,[1]lookuptable!$A$1:$C$7,2,0)</f>
        <v>59036</v>
      </c>
      <c r="C450" t="s">
        <v>12</v>
      </c>
      <c r="D450" s="1">
        <v>22</v>
      </c>
      <c r="E450">
        <v>0</v>
      </c>
      <c r="F450">
        <v>130</v>
      </c>
      <c r="G450">
        <v>130</v>
      </c>
      <c r="H450">
        <v>368</v>
      </c>
      <c r="I450" s="2">
        <v>35.326086959999998</v>
      </c>
      <c r="J450" cm="1">
        <f t="array" ref="J450">IF(AND(I450&gt;=0,I450&lt;=20),0,IF(AND(I450&gt;20,I450&lt;=40),1, IF(AND(I450&gt;40,I450&lt;=60),2,IF(AND(I450&gt;60,I450&lt;=80),3, IF(AND(I450&gt;80,I450&lt;=100),4,”5”)))))</f>
        <v>1</v>
      </c>
    </row>
    <row r="451" spans="1:10" x14ac:dyDescent="0.3">
      <c r="A451" t="str">
        <f t="shared" si="10"/>
        <v>59036_23</v>
      </c>
      <c r="B451">
        <f>VLOOKUP(C451,[1]lookuptable!$A$1:$C$7,2,0)</f>
        <v>59036</v>
      </c>
      <c r="C451" t="s">
        <v>12</v>
      </c>
      <c r="D451" s="1">
        <v>23</v>
      </c>
      <c r="E451">
        <v>2</v>
      </c>
      <c r="F451">
        <v>149</v>
      </c>
      <c r="G451">
        <v>151</v>
      </c>
      <c r="H451">
        <v>427</v>
      </c>
      <c r="I451" s="2">
        <v>35.362997659999998</v>
      </c>
      <c r="J451" cm="1">
        <f t="array" ref="J451">IF(AND(I451&gt;=0,I451&lt;=20),0,IF(AND(I451&gt;20,I451&lt;=40),1, IF(AND(I451&gt;40,I451&lt;=60),2,IF(AND(I451&gt;60,I451&lt;=80),3, IF(AND(I451&gt;80,I451&lt;=100),4,”5”)))))</f>
        <v>1</v>
      </c>
    </row>
    <row r="452" spans="1:10" x14ac:dyDescent="0.3">
      <c r="A452" t="str">
        <f t="shared" si="10"/>
        <v>59036_24</v>
      </c>
      <c r="B452">
        <f>VLOOKUP(C452,[1]lookuptable!$A$1:$C$7,2,0)</f>
        <v>59036</v>
      </c>
      <c r="C452" t="s">
        <v>12</v>
      </c>
      <c r="D452" s="1">
        <v>24</v>
      </c>
      <c r="E452">
        <v>1</v>
      </c>
      <c r="F452">
        <v>134</v>
      </c>
      <c r="G452">
        <v>135</v>
      </c>
      <c r="H452">
        <v>397</v>
      </c>
      <c r="I452" s="2">
        <v>34.005037780000002</v>
      </c>
      <c r="J452" cm="1">
        <f t="array" ref="J452">IF(AND(I452&gt;=0,I452&lt;=20),0,IF(AND(I452&gt;20,I452&lt;=40),1, IF(AND(I452&gt;40,I452&lt;=60),2,IF(AND(I452&gt;60,I452&lt;=80),3, IF(AND(I452&gt;80,I452&lt;=100),4,”5”)))))</f>
        <v>1</v>
      </c>
    </row>
    <row r="453" spans="1:10" x14ac:dyDescent="0.3">
      <c r="A453" t="str">
        <f t="shared" si="10"/>
        <v>59036_25</v>
      </c>
      <c r="B453">
        <f>VLOOKUP(C453,[1]lookuptable!$A$1:$C$7,2,0)</f>
        <v>59036</v>
      </c>
      <c r="C453" t="s">
        <v>12</v>
      </c>
      <c r="D453" s="1">
        <v>25</v>
      </c>
      <c r="E453">
        <v>0</v>
      </c>
      <c r="F453">
        <v>117</v>
      </c>
      <c r="G453">
        <v>117</v>
      </c>
      <c r="H453">
        <v>349</v>
      </c>
      <c r="I453" s="2">
        <v>33.524355300000003</v>
      </c>
      <c r="J453" cm="1">
        <f t="array" ref="J453">IF(AND(I453&gt;=0,I453&lt;=20),0,IF(AND(I453&gt;20,I453&lt;=40),1, IF(AND(I453&gt;40,I453&lt;=60),2,IF(AND(I453&gt;60,I453&lt;=80),3, IF(AND(I453&gt;80,I453&lt;=100),4,”5”)))))</f>
        <v>1</v>
      </c>
    </row>
    <row r="454" spans="1:10" x14ac:dyDescent="0.3">
      <c r="A454" t="str">
        <f t="shared" si="10"/>
        <v>59036_26</v>
      </c>
      <c r="B454">
        <f>VLOOKUP(C454,[1]lookuptable!$A$1:$C$7,2,0)</f>
        <v>59036</v>
      </c>
      <c r="C454" t="s">
        <v>12</v>
      </c>
      <c r="D454" s="1">
        <v>26</v>
      </c>
      <c r="E454">
        <v>0</v>
      </c>
      <c r="F454">
        <v>125</v>
      </c>
      <c r="G454">
        <v>125</v>
      </c>
      <c r="H454">
        <v>395</v>
      </c>
      <c r="I454" s="2">
        <v>31.64556962</v>
      </c>
      <c r="J454" cm="1">
        <f t="array" ref="J454">IF(AND(I454&gt;=0,I454&lt;=20),0,IF(AND(I454&gt;20,I454&lt;=40),1, IF(AND(I454&gt;40,I454&lt;=60),2,IF(AND(I454&gt;60,I454&lt;=80),3, IF(AND(I454&gt;80,I454&lt;=100),4,”5”)))))</f>
        <v>1</v>
      </c>
    </row>
    <row r="455" spans="1:10" x14ac:dyDescent="0.3">
      <c r="A455" t="str">
        <f t="shared" si="10"/>
        <v>59036_27</v>
      </c>
      <c r="B455">
        <f>VLOOKUP(C455,[1]lookuptable!$A$1:$C$7,2,0)</f>
        <v>59036</v>
      </c>
      <c r="C455" t="s">
        <v>12</v>
      </c>
      <c r="D455" s="1">
        <v>27</v>
      </c>
      <c r="E455">
        <v>0</v>
      </c>
      <c r="F455">
        <v>160</v>
      </c>
      <c r="G455">
        <v>160</v>
      </c>
      <c r="H455">
        <v>393</v>
      </c>
      <c r="I455" s="2">
        <v>40.712468190000003</v>
      </c>
      <c r="J455" cm="1">
        <f t="array" ref="J455">IF(AND(I455&gt;=0,I455&lt;=20),0,IF(AND(I455&gt;20,I455&lt;=40),1, IF(AND(I455&gt;40,I455&lt;=60),2,IF(AND(I455&gt;60,I455&lt;=80),3, IF(AND(I455&gt;80,I455&lt;=100),4,”5”)))))</f>
        <v>2</v>
      </c>
    </row>
    <row r="456" spans="1:10" x14ac:dyDescent="0.3">
      <c r="A456" t="str">
        <f t="shared" si="10"/>
        <v>59036_28</v>
      </c>
      <c r="B456">
        <f>VLOOKUP(C456,[1]lookuptable!$A$1:$C$7,2,0)</f>
        <v>59036</v>
      </c>
      <c r="C456" t="s">
        <v>12</v>
      </c>
      <c r="D456" s="1">
        <v>28</v>
      </c>
      <c r="E456">
        <v>1</v>
      </c>
      <c r="F456">
        <v>155</v>
      </c>
      <c r="G456">
        <v>156</v>
      </c>
      <c r="H456">
        <v>437</v>
      </c>
      <c r="I456" s="2">
        <v>35.697940500000001</v>
      </c>
      <c r="J456" cm="1">
        <f t="array" ref="J456">IF(AND(I456&gt;=0,I456&lt;=20),0,IF(AND(I456&gt;20,I456&lt;=40),1, IF(AND(I456&gt;40,I456&lt;=60),2,IF(AND(I456&gt;60,I456&lt;=80),3, IF(AND(I456&gt;80,I456&lt;=100),4,”5”)))))</f>
        <v>1</v>
      </c>
    </row>
    <row r="457" spans="1:10" x14ac:dyDescent="0.3">
      <c r="A457" t="str">
        <f t="shared" si="10"/>
        <v>59036_29</v>
      </c>
      <c r="B457">
        <f>VLOOKUP(C457,[1]lookuptable!$A$1:$C$7,2,0)</f>
        <v>59036</v>
      </c>
      <c r="C457" t="s">
        <v>12</v>
      </c>
      <c r="D457" s="1">
        <v>29</v>
      </c>
      <c r="E457">
        <v>1</v>
      </c>
      <c r="F457">
        <v>104</v>
      </c>
      <c r="G457">
        <v>105</v>
      </c>
      <c r="H457">
        <v>460</v>
      </c>
      <c r="I457" s="2">
        <v>22.826086960000001</v>
      </c>
      <c r="J457" cm="1">
        <f t="array" ref="J457">IF(AND(I457&gt;=0,I457&lt;=20),0,IF(AND(I457&gt;20,I457&lt;=40),1, IF(AND(I457&gt;40,I457&lt;=60),2,IF(AND(I457&gt;60,I457&lt;=80),3, IF(AND(I457&gt;80,I457&lt;=100),4,”5”)))))</f>
        <v>1</v>
      </c>
    </row>
    <row r="458" spans="1:10" x14ac:dyDescent="0.3">
      <c r="A458" t="str">
        <f t="shared" si="10"/>
        <v>59036_30</v>
      </c>
      <c r="B458">
        <f>VLOOKUP(C458,[1]lookuptable!$A$1:$C$7,2,0)</f>
        <v>59036</v>
      </c>
      <c r="C458" t="s">
        <v>12</v>
      </c>
      <c r="D458" s="1">
        <v>30</v>
      </c>
      <c r="E458">
        <v>1</v>
      </c>
      <c r="F458">
        <v>129</v>
      </c>
      <c r="G458">
        <v>130</v>
      </c>
      <c r="H458">
        <v>391</v>
      </c>
      <c r="I458" s="2">
        <v>33.248081839999998</v>
      </c>
      <c r="J458" cm="1">
        <f t="array" ref="J458">IF(AND(I458&gt;=0,I458&lt;=20),0,IF(AND(I458&gt;20,I458&lt;=40),1, IF(AND(I458&gt;40,I458&lt;=60),2,IF(AND(I458&gt;60,I458&lt;=80),3, IF(AND(I458&gt;80,I458&lt;=100),4,”5”)))))</f>
        <v>1</v>
      </c>
    </row>
    <row r="459" spans="1:10" x14ac:dyDescent="0.3">
      <c r="A459" t="str">
        <f t="shared" si="10"/>
        <v>59036_31</v>
      </c>
      <c r="B459">
        <f>VLOOKUP(C459,[1]lookuptable!$A$1:$C$7,2,0)</f>
        <v>59036</v>
      </c>
      <c r="C459" t="s">
        <v>12</v>
      </c>
      <c r="D459" s="1">
        <v>31</v>
      </c>
      <c r="E459">
        <v>0</v>
      </c>
      <c r="F459">
        <v>117</v>
      </c>
      <c r="G459">
        <v>117</v>
      </c>
      <c r="H459">
        <v>426</v>
      </c>
      <c r="I459" s="2">
        <v>27.464788729999999</v>
      </c>
      <c r="J459" cm="1">
        <f t="array" ref="J459">IF(AND(I459&gt;=0,I459&lt;=20),0,IF(AND(I459&gt;20,I459&lt;=40),1, IF(AND(I459&gt;40,I459&lt;=60),2,IF(AND(I459&gt;60,I459&lt;=80),3, IF(AND(I459&gt;80,I459&lt;=100),4,”5”)))))</f>
        <v>1</v>
      </c>
    </row>
    <row r="460" spans="1:10" x14ac:dyDescent="0.3">
      <c r="A460" t="str">
        <f t="shared" si="10"/>
        <v>59036_32</v>
      </c>
      <c r="B460">
        <f>VLOOKUP(C460,[1]lookuptable!$A$1:$C$7,2,0)</f>
        <v>59036</v>
      </c>
      <c r="C460" t="s">
        <v>12</v>
      </c>
      <c r="D460" s="1">
        <v>32</v>
      </c>
      <c r="E460">
        <v>1</v>
      </c>
      <c r="F460">
        <v>88</v>
      </c>
      <c r="G460">
        <v>89</v>
      </c>
      <c r="H460">
        <v>339</v>
      </c>
      <c r="I460" s="2">
        <v>26.253687320000001</v>
      </c>
      <c r="J460" cm="1">
        <f t="array" ref="J460">IF(AND(I460&gt;=0,I460&lt;=20),0,IF(AND(I460&gt;20,I460&lt;=40),1, IF(AND(I460&gt;40,I460&lt;=60),2,IF(AND(I460&gt;60,I460&lt;=80),3, IF(AND(I460&gt;80,I460&lt;=100),4,”5”)))))</f>
        <v>1</v>
      </c>
    </row>
    <row r="461" spans="1:10" x14ac:dyDescent="0.3">
      <c r="A461" t="str">
        <f t="shared" si="10"/>
        <v>59036_33</v>
      </c>
      <c r="B461">
        <f>VLOOKUP(C461,[1]lookuptable!$A$1:$C$7,2,0)</f>
        <v>59036</v>
      </c>
      <c r="C461" t="s">
        <v>12</v>
      </c>
      <c r="D461" s="1">
        <v>33</v>
      </c>
      <c r="E461">
        <v>0</v>
      </c>
      <c r="F461">
        <v>103</v>
      </c>
      <c r="G461">
        <v>103</v>
      </c>
      <c r="H461">
        <v>366</v>
      </c>
      <c r="I461" s="2">
        <v>28.142076500000002</v>
      </c>
      <c r="J461" cm="1">
        <f t="array" ref="J461">IF(AND(I461&gt;=0,I461&lt;=20),0,IF(AND(I461&gt;20,I461&lt;=40),1, IF(AND(I461&gt;40,I461&lt;=60),2,IF(AND(I461&gt;60,I461&lt;=80),3, IF(AND(I461&gt;80,I461&lt;=100),4,”5”)))))</f>
        <v>1</v>
      </c>
    </row>
    <row r="462" spans="1:10" x14ac:dyDescent="0.3">
      <c r="A462" t="str">
        <f t="shared" si="10"/>
        <v>59036_34</v>
      </c>
      <c r="B462">
        <f>VLOOKUP(C462,[1]lookuptable!$A$1:$C$7,2,0)</f>
        <v>59036</v>
      </c>
      <c r="C462" t="s">
        <v>12</v>
      </c>
      <c r="D462" s="1">
        <v>34</v>
      </c>
      <c r="E462">
        <v>0</v>
      </c>
      <c r="F462">
        <v>120</v>
      </c>
      <c r="G462">
        <v>120</v>
      </c>
      <c r="H462">
        <v>392</v>
      </c>
      <c r="I462" s="2">
        <v>30.6122449</v>
      </c>
      <c r="J462" cm="1">
        <f t="array" ref="J462">IF(AND(I462&gt;=0,I462&lt;=20),0,IF(AND(I462&gt;20,I462&lt;=40),1, IF(AND(I462&gt;40,I462&lt;=60),2,IF(AND(I462&gt;60,I462&lt;=80),3, IF(AND(I462&gt;80,I462&lt;=100),4,”5”)))))</f>
        <v>1</v>
      </c>
    </row>
    <row r="463" spans="1:10" x14ac:dyDescent="0.3">
      <c r="A463" t="str">
        <f t="shared" si="10"/>
        <v>59036_35</v>
      </c>
      <c r="B463">
        <f>VLOOKUP(C463,[1]lookuptable!$A$1:$C$7,2,0)</f>
        <v>59036</v>
      </c>
      <c r="C463" t="s">
        <v>12</v>
      </c>
      <c r="D463" s="1">
        <v>35</v>
      </c>
      <c r="E463">
        <v>2</v>
      </c>
      <c r="F463">
        <v>155</v>
      </c>
      <c r="G463">
        <v>157</v>
      </c>
      <c r="H463">
        <v>486</v>
      </c>
      <c r="I463" s="2">
        <v>32.304526750000001</v>
      </c>
      <c r="J463" cm="1">
        <f t="array" ref="J463">IF(AND(I463&gt;=0,I463&lt;=20),0,IF(AND(I463&gt;20,I463&lt;=40),1, IF(AND(I463&gt;40,I463&lt;=60),2,IF(AND(I463&gt;60,I463&lt;=80),3, IF(AND(I463&gt;80,I463&lt;=100),4,”5”)))))</f>
        <v>1</v>
      </c>
    </row>
    <row r="464" spans="1:10" x14ac:dyDescent="0.3">
      <c r="A464" t="str">
        <f t="shared" si="10"/>
        <v>59036_36</v>
      </c>
      <c r="B464">
        <f>VLOOKUP(C464,[1]lookuptable!$A$1:$C$7,2,0)</f>
        <v>59036</v>
      </c>
      <c r="C464" t="s">
        <v>12</v>
      </c>
      <c r="D464" s="1">
        <v>36</v>
      </c>
      <c r="E464">
        <v>1</v>
      </c>
      <c r="F464">
        <v>151</v>
      </c>
      <c r="G464">
        <v>152</v>
      </c>
      <c r="H464">
        <v>414</v>
      </c>
      <c r="I464" s="2">
        <v>36.714975850000002</v>
      </c>
      <c r="J464" cm="1">
        <f t="array" ref="J464">IF(AND(I464&gt;=0,I464&lt;=20),0,IF(AND(I464&gt;20,I464&lt;=40),1, IF(AND(I464&gt;40,I464&lt;=60),2,IF(AND(I464&gt;60,I464&lt;=80),3, IF(AND(I464&gt;80,I464&lt;=100),4,”5”)))))</f>
        <v>1</v>
      </c>
    </row>
    <row r="465" spans="1:10" x14ac:dyDescent="0.3">
      <c r="A465" t="str">
        <f t="shared" si="10"/>
        <v>59036_37</v>
      </c>
      <c r="B465">
        <f>VLOOKUP(C465,[1]lookuptable!$A$1:$C$7,2,0)</f>
        <v>59036</v>
      </c>
      <c r="C465" t="s">
        <v>12</v>
      </c>
      <c r="D465" s="1">
        <v>37</v>
      </c>
      <c r="E465">
        <v>0</v>
      </c>
      <c r="F465">
        <v>156</v>
      </c>
      <c r="G465">
        <v>156</v>
      </c>
      <c r="H465">
        <v>416</v>
      </c>
      <c r="I465" s="2">
        <v>37.5</v>
      </c>
      <c r="J465" cm="1">
        <f t="array" ref="J465">IF(AND(I465&gt;=0,I465&lt;=20),0,IF(AND(I465&gt;20,I465&lt;=40),1, IF(AND(I465&gt;40,I465&lt;=60),2,IF(AND(I465&gt;60,I465&lt;=80),3, IF(AND(I465&gt;80,I465&lt;=100),4,”5”)))))</f>
        <v>1</v>
      </c>
    </row>
    <row r="466" spans="1:10" x14ac:dyDescent="0.3">
      <c r="A466" t="str">
        <f t="shared" si="10"/>
        <v>59036_38</v>
      </c>
      <c r="B466">
        <f>VLOOKUP(C466,[1]lookuptable!$A$1:$C$7,2,0)</f>
        <v>59036</v>
      </c>
      <c r="C466" t="s">
        <v>12</v>
      </c>
      <c r="D466" s="1">
        <v>38</v>
      </c>
      <c r="E466">
        <v>0</v>
      </c>
      <c r="F466">
        <v>186</v>
      </c>
      <c r="G466">
        <v>186</v>
      </c>
      <c r="H466">
        <v>469</v>
      </c>
      <c r="I466" s="2">
        <v>39.65884861</v>
      </c>
      <c r="J466" cm="1">
        <f t="array" ref="J466">IF(AND(I466&gt;=0,I466&lt;=20),0,IF(AND(I466&gt;20,I466&lt;=40),1, IF(AND(I466&gt;40,I466&lt;=60),2,IF(AND(I466&gt;60,I466&lt;=80),3, IF(AND(I466&gt;80,I466&lt;=100),4,”5”)))))</f>
        <v>1</v>
      </c>
    </row>
    <row r="467" spans="1:10" x14ac:dyDescent="0.3">
      <c r="A467" t="str">
        <f t="shared" si="10"/>
        <v>59036_39</v>
      </c>
      <c r="B467">
        <f>VLOOKUP(C467,[1]lookuptable!$A$1:$C$7,2,0)</f>
        <v>59036</v>
      </c>
      <c r="C467" t="s">
        <v>12</v>
      </c>
      <c r="D467" s="1">
        <v>39</v>
      </c>
      <c r="E467">
        <v>0</v>
      </c>
      <c r="F467">
        <v>162</v>
      </c>
      <c r="G467">
        <v>162</v>
      </c>
      <c r="H467">
        <v>414</v>
      </c>
      <c r="I467" s="2">
        <v>39.130434780000002</v>
      </c>
      <c r="J467" cm="1">
        <f t="array" ref="J467">IF(AND(I467&gt;=0,I467&lt;=20),0,IF(AND(I467&gt;20,I467&lt;=40),1, IF(AND(I467&gt;40,I467&lt;=60),2,IF(AND(I467&gt;60,I467&lt;=80),3, IF(AND(I467&gt;80,I467&lt;=100),4,”5”)))))</f>
        <v>1</v>
      </c>
    </row>
    <row r="468" spans="1:10" x14ac:dyDescent="0.3">
      <c r="A468" t="str">
        <f t="shared" si="10"/>
        <v>59036_40</v>
      </c>
      <c r="B468">
        <f>VLOOKUP(C468,[1]lookuptable!$A$1:$C$7,2,0)</f>
        <v>59036</v>
      </c>
      <c r="C468" t="s">
        <v>12</v>
      </c>
      <c r="D468" s="1">
        <v>40</v>
      </c>
      <c r="E468">
        <v>1</v>
      </c>
      <c r="F468">
        <v>192</v>
      </c>
      <c r="G468">
        <v>193</v>
      </c>
      <c r="H468">
        <v>454</v>
      </c>
      <c r="I468" s="2">
        <v>42.511013220000002</v>
      </c>
      <c r="J468" cm="1">
        <f t="array" ref="J468">IF(AND(I468&gt;=0,I468&lt;=20),0,IF(AND(I468&gt;20,I468&lt;=40),1, IF(AND(I468&gt;40,I468&lt;=60),2,IF(AND(I468&gt;60,I468&lt;=80),3, IF(AND(I468&gt;80,I468&lt;=100),4,”5”)))))</f>
        <v>2</v>
      </c>
    </row>
    <row r="469" spans="1:10" x14ac:dyDescent="0.3">
      <c r="A469" t="str">
        <f t="shared" si="10"/>
        <v>59036_41</v>
      </c>
      <c r="B469">
        <f>VLOOKUP(C469,[1]lookuptable!$A$1:$C$7,2,0)</f>
        <v>59036</v>
      </c>
      <c r="C469" t="s">
        <v>12</v>
      </c>
      <c r="D469" s="1">
        <v>41</v>
      </c>
      <c r="E469">
        <v>0</v>
      </c>
      <c r="F469">
        <v>126</v>
      </c>
      <c r="G469">
        <v>126</v>
      </c>
      <c r="H469">
        <v>374</v>
      </c>
      <c r="I469" s="2">
        <v>33.689839569999997</v>
      </c>
      <c r="J469" cm="1">
        <f t="array" ref="J469">IF(AND(I469&gt;=0,I469&lt;=20),0,IF(AND(I469&gt;20,I469&lt;=40),1, IF(AND(I469&gt;40,I469&lt;=60),2,IF(AND(I469&gt;60,I469&lt;=80),3, IF(AND(I469&gt;80,I469&lt;=100),4,”5”)))))</f>
        <v>1</v>
      </c>
    </row>
    <row r="470" spans="1:10" x14ac:dyDescent="0.3">
      <c r="A470" t="str">
        <f t="shared" si="10"/>
        <v>59036_42</v>
      </c>
      <c r="B470">
        <f>VLOOKUP(C470,[1]lookuptable!$A$1:$C$7,2,0)</f>
        <v>59036</v>
      </c>
      <c r="C470" t="s">
        <v>12</v>
      </c>
      <c r="D470" s="1">
        <v>42</v>
      </c>
      <c r="E470">
        <v>0</v>
      </c>
      <c r="F470">
        <v>152</v>
      </c>
      <c r="G470">
        <v>152</v>
      </c>
      <c r="H470">
        <v>420</v>
      </c>
      <c r="I470" s="2">
        <v>36.190476189999998</v>
      </c>
      <c r="J470" cm="1">
        <f t="array" ref="J470">IF(AND(I470&gt;=0,I470&lt;=20),0,IF(AND(I470&gt;20,I470&lt;=40),1, IF(AND(I470&gt;40,I470&lt;=60),2,IF(AND(I470&gt;60,I470&lt;=80),3, IF(AND(I470&gt;80,I470&lt;=100),4,”5”)))))</f>
        <v>1</v>
      </c>
    </row>
    <row r="471" spans="1:10" x14ac:dyDescent="0.3">
      <c r="A471" t="str">
        <f t="shared" si="10"/>
        <v>59036_43</v>
      </c>
      <c r="B471">
        <f>VLOOKUP(C471,[1]lookuptable!$A$1:$C$7,2,0)</f>
        <v>59036</v>
      </c>
      <c r="C471" t="s">
        <v>12</v>
      </c>
      <c r="D471" s="1">
        <v>43</v>
      </c>
      <c r="E471">
        <v>0</v>
      </c>
      <c r="F471">
        <v>149</v>
      </c>
      <c r="G471">
        <v>149</v>
      </c>
      <c r="H471">
        <v>449</v>
      </c>
      <c r="I471" s="2">
        <v>33.184855229999997</v>
      </c>
      <c r="J471" cm="1">
        <f t="array" ref="J471">IF(AND(I471&gt;=0,I471&lt;=20),0,IF(AND(I471&gt;20,I471&lt;=40),1, IF(AND(I471&gt;40,I471&lt;=60),2,IF(AND(I471&gt;60,I471&lt;=80),3, IF(AND(I471&gt;80,I471&lt;=100),4,”5”)))))</f>
        <v>1</v>
      </c>
    </row>
    <row r="472" spans="1:10" x14ac:dyDescent="0.3">
      <c r="A472" t="str">
        <f t="shared" si="10"/>
        <v>59036_44</v>
      </c>
      <c r="B472">
        <f>VLOOKUP(C472,[1]lookuptable!$A$1:$C$7,2,0)</f>
        <v>59036</v>
      </c>
      <c r="C472" t="s">
        <v>12</v>
      </c>
      <c r="D472" s="1">
        <v>44</v>
      </c>
      <c r="E472">
        <v>0</v>
      </c>
      <c r="F472">
        <v>187</v>
      </c>
      <c r="G472">
        <v>187</v>
      </c>
      <c r="H472">
        <v>449</v>
      </c>
      <c r="I472" s="2">
        <v>41.648106900000002</v>
      </c>
      <c r="J472" cm="1">
        <f t="array" ref="J472">IF(AND(I472&gt;=0,I472&lt;=20),0,IF(AND(I472&gt;20,I472&lt;=40),1, IF(AND(I472&gt;40,I472&lt;=60),2,IF(AND(I472&gt;60,I472&lt;=80),3, IF(AND(I472&gt;80,I472&lt;=100),4,”5”)))))</f>
        <v>2</v>
      </c>
    </row>
    <row r="473" spans="1:10" x14ac:dyDescent="0.3">
      <c r="A473" t="str">
        <f t="shared" si="10"/>
        <v>59036_45</v>
      </c>
      <c r="B473">
        <f>VLOOKUP(C473,[1]lookuptable!$A$1:$C$7,2,0)</f>
        <v>59036</v>
      </c>
      <c r="C473" t="s">
        <v>12</v>
      </c>
      <c r="D473" s="1">
        <v>45</v>
      </c>
      <c r="E473">
        <v>1</v>
      </c>
      <c r="F473">
        <v>188</v>
      </c>
      <c r="G473">
        <v>189</v>
      </c>
      <c r="H473">
        <v>490</v>
      </c>
      <c r="I473" s="2">
        <v>38.571428570000002</v>
      </c>
      <c r="J473" cm="1">
        <f t="array" ref="J473">IF(AND(I473&gt;=0,I473&lt;=20),0,IF(AND(I473&gt;20,I473&lt;=40),1, IF(AND(I473&gt;40,I473&lt;=60),2,IF(AND(I473&gt;60,I473&lt;=80),3, IF(AND(I473&gt;80,I473&lt;=100),4,”5”)))))</f>
        <v>1</v>
      </c>
    </row>
    <row r="474" spans="1:10" x14ac:dyDescent="0.3">
      <c r="A474" t="str">
        <f t="shared" si="10"/>
        <v>59036_47</v>
      </c>
      <c r="B474">
        <f>VLOOKUP(C474,[1]lookuptable!$A$1:$C$7,2,0)</f>
        <v>59036</v>
      </c>
      <c r="C474" t="s">
        <v>12</v>
      </c>
      <c r="D474" s="1">
        <v>47</v>
      </c>
      <c r="E474">
        <v>0</v>
      </c>
      <c r="F474">
        <v>125</v>
      </c>
      <c r="G474">
        <v>125</v>
      </c>
      <c r="H474">
        <v>403</v>
      </c>
      <c r="I474" s="2">
        <v>31.017369729999999</v>
      </c>
      <c r="J474" cm="1">
        <f t="array" ref="J474">IF(AND(I474&gt;=0,I474&lt;=20),0,IF(AND(I474&gt;20,I474&lt;=40),1, IF(AND(I474&gt;40,I474&lt;=60),2,IF(AND(I474&gt;60,I474&lt;=80),3, IF(AND(I474&gt;80,I474&lt;=100),4,”5”)))))</f>
        <v>1</v>
      </c>
    </row>
    <row r="475" spans="1:10" x14ac:dyDescent="0.3">
      <c r="A475" t="str">
        <f t="shared" si="10"/>
        <v>59036_48</v>
      </c>
      <c r="B475">
        <f>VLOOKUP(C475,[1]lookuptable!$A$1:$C$7,2,0)</f>
        <v>59036</v>
      </c>
      <c r="C475" t="s">
        <v>12</v>
      </c>
      <c r="D475" s="1">
        <v>48</v>
      </c>
      <c r="E475">
        <v>0</v>
      </c>
      <c r="F475">
        <v>120</v>
      </c>
      <c r="G475">
        <v>120</v>
      </c>
      <c r="H475">
        <v>364</v>
      </c>
      <c r="I475" s="2">
        <v>32.967032969999998</v>
      </c>
      <c r="J475" cm="1">
        <f t="array" ref="J475">IF(AND(I475&gt;=0,I475&lt;=20),0,IF(AND(I475&gt;20,I475&lt;=40),1, IF(AND(I475&gt;40,I475&lt;=60),2,IF(AND(I475&gt;60,I475&lt;=80),3, IF(AND(I475&gt;80,I475&lt;=100),4,”5”)))))</f>
        <v>1</v>
      </c>
    </row>
    <row r="476" spans="1:10" x14ac:dyDescent="0.3">
      <c r="A476" t="str">
        <f t="shared" si="10"/>
        <v>59036_49</v>
      </c>
      <c r="B476">
        <f>VLOOKUP(C476,[1]lookuptable!$A$1:$C$7,2,0)</f>
        <v>59036</v>
      </c>
      <c r="C476" t="s">
        <v>12</v>
      </c>
      <c r="D476" s="1">
        <v>49</v>
      </c>
      <c r="E476">
        <v>0</v>
      </c>
      <c r="F476">
        <v>163</v>
      </c>
      <c r="G476">
        <v>163</v>
      </c>
      <c r="H476">
        <v>473</v>
      </c>
      <c r="I476" s="2">
        <v>34.46088795</v>
      </c>
      <c r="J476" cm="1">
        <f t="array" ref="J476">IF(AND(I476&gt;=0,I476&lt;=20),0,IF(AND(I476&gt;20,I476&lt;=40),1, IF(AND(I476&gt;40,I476&lt;=60),2,IF(AND(I476&gt;60,I476&lt;=80),3, IF(AND(I476&gt;80,I476&lt;=100),4,”5”)))))</f>
        <v>1</v>
      </c>
    </row>
    <row r="477" spans="1:10" x14ac:dyDescent="0.3">
      <c r="A477" t="str">
        <f t="shared" si="10"/>
        <v>59036_50</v>
      </c>
      <c r="B477">
        <f>VLOOKUP(C477,[1]lookuptable!$A$1:$C$7,2,0)</f>
        <v>59036</v>
      </c>
      <c r="C477" t="s">
        <v>12</v>
      </c>
      <c r="D477" s="1">
        <v>50</v>
      </c>
      <c r="E477">
        <v>0</v>
      </c>
      <c r="F477">
        <v>129</v>
      </c>
      <c r="G477">
        <v>129</v>
      </c>
      <c r="H477">
        <v>355</v>
      </c>
      <c r="I477" s="2">
        <v>36.338028170000001</v>
      </c>
      <c r="J477" cm="1">
        <f t="array" ref="J477">IF(AND(I477&gt;=0,I477&lt;=20),0,IF(AND(I477&gt;20,I477&lt;=40),1, IF(AND(I477&gt;40,I477&lt;=60),2,IF(AND(I477&gt;60,I477&lt;=80),3, IF(AND(I477&gt;80,I477&lt;=100),4,”5”)))))</f>
        <v>1</v>
      </c>
    </row>
    <row r="478" spans="1:10" x14ac:dyDescent="0.3">
      <c r="A478" t="str">
        <f t="shared" si="10"/>
        <v>59036_51</v>
      </c>
      <c r="B478">
        <f>VLOOKUP(C478,[1]lookuptable!$A$1:$C$7,2,0)</f>
        <v>59036</v>
      </c>
      <c r="C478" t="s">
        <v>12</v>
      </c>
      <c r="D478" s="1">
        <v>51</v>
      </c>
      <c r="E478">
        <v>1</v>
      </c>
      <c r="F478">
        <v>138</v>
      </c>
      <c r="G478">
        <v>139</v>
      </c>
      <c r="H478">
        <v>469</v>
      </c>
      <c r="I478" s="2">
        <v>29.637526650000002</v>
      </c>
      <c r="J478" cm="1">
        <f t="array" ref="J478">IF(AND(I478&gt;=0,I478&lt;=20),0,IF(AND(I478&gt;20,I478&lt;=40),1, IF(AND(I478&gt;40,I478&lt;=60),2,IF(AND(I478&gt;60,I478&lt;=80),3, IF(AND(I478&gt;80,I478&lt;=100),4,”5”)))))</f>
        <v>1</v>
      </c>
    </row>
    <row r="479" spans="1:10" x14ac:dyDescent="0.3">
      <c r="A479" t="str">
        <f t="shared" si="10"/>
        <v>59036_52</v>
      </c>
      <c r="B479">
        <f>VLOOKUP(C479,[1]lookuptable!$A$1:$C$7,2,0)</f>
        <v>59036</v>
      </c>
      <c r="C479" t="s">
        <v>12</v>
      </c>
      <c r="D479" s="1">
        <v>52</v>
      </c>
      <c r="E479">
        <v>0</v>
      </c>
      <c r="F479">
        <v>149</v>
      </c>
      <c r="G479">
        <v>149</v>
      </c>
      <c r="H479">
        <v>385</v>
      </c>
      <c r="I479" s="2">
        <v>38.701298700000002</v>
      </c>
      <c r="J479" cm="1">
        <f t="array" ref="J479">IF(AND(I479&gt;=0,I479&lt;=20),0,IF(AND(I479&gt;20,I479&lt;=40),1, IF(AND(I479&gt;40,I479&lt;=60),2,IF(AND(I479&gt;60,I479&lt;=80),3, IF(AND(I479&gt;80,I479&lt;=100),4,”5”)))))</f>
        <v>1</v>
      </c>
    </row>
    <row r="480" spans="1:10" x14ac:dyDescent="0.3">
      <c r="A480" t="str">
        <f t="shared" si="10"/>
        <v>59036_53</v>
      </c>
      <c r="B480">
        <f>VLOOKUP(C480,[1]lookuptable!$A$1:$C$7,2,0)</f>
        <v>59036</v>
      </c>
      <c r="C480" t="s">
        <v>12</v>
      </c>
      <c r="D480" s="1">
        <v>53</v>
      </c>
      <c r="E480">
        <v>0</v>
      </c>
      <c r="F480">
        <v>113</v>
      </c>
      <c r="G480">
        <v>113</v>
      </c>
      <c r="H480">
        <v>380</v>
      </c>
      <c r="I480" s="2">
        <v>29.736842110000001</v>
      </c>
      <c r="J480" cm="1">
        <f t="array" ref="J480">IF(AND(I480&gt;=0,I480&lt;=20),0,IF(AND(I480&gt;20,I480&lt;=40),1, IF(AND(I480&gt;40,I480&lt;=60),2,IF(AND(I480&gt;60,I480&lt;=80),3, IF(AND(I480&gt;80,I480&lt;=100),4,”5”)))))</f>
        <v>1</v>
      </c>
    </row>
    <row r="481" spans="1:10" x14ac:dyDescent="0.3">
      <c r="A481" t="str">
        <f t="shared" si="10"/>
        <v>59036_54</v>
      </c>
      <c r="B481">
        <f>VLOOKUP(C481,[1]lookuptable!$A$1:$C$7,2,0)</f>
        <v>59036</v>
      </c>
      <c r="C481" t="s">
        <v>12</v>
      </c>
      <c r="D481" s="1">
        <v>54</v>
      </c>
      <c r="E481">
        <v>0</v>
      </c>
      <c r="F481">
        <v>150</v>
      </c>
      <c r="G481">
        <v>150</v>
      </c>
      <c r="H481">
        <v>467</v>
      </c>
      <c r="I481" s="2">
        <v>32.119914350000002</v>
      </c>
      <c r="J481" cm="1">
        <f t="array" ref="J481">IF(AND(I481&gt;=0,I481&lt;=20),0,IF(AND(I481&gt;20,I481&lt;=40),1, IF(AND(I481&gt;40,I481&lt;=60),2,IF(AND(I481&gt;60,I481&lt;=80),3, IF(AND(I481&gt;80,I481&lt;=100),4,”5”)))))</f>
        <v>1</v>
      </c>
    </row>
    <row r="482" spans="1:10" x14ac:dyDescent="0.3">
      <c r="A482" t="str">
        <f t="shared" si="10"/>
        <v>59036_55</v>
      </c>
      <c r="B482">
        <f>VLOOKUP(C482,[1]lookuptable!$A$1:$C$7,2,0)</f>
        <v>59036</v>
      </c>
      <c r="C482" t="s">
        <v>12</v>
      </c>
      <c r="D482" s="1">
        <v>55</v>
      </c>
      <c r="E482">
        <v>0</v>
      </c>
      <c r="F482">
        <v>163</v>
      </c>
      <c r="G482">
        <v>163</v>
      </c>
      <c r="H482">
        <v>493</v>
      </c>
      <c r="I482" s="2">
        <v>33.062880319999998</v>
      </c>
      <c r="J482" cm="1">
        <f t="array" ref="J482">IF(AND(I482&gt;=0,I482&lt;=20),0,IF(AND(I482&gt;20,I482&lt;=40),1, IF(AND(I482&gt;40,I482&lt;=60),2,IF(AND(I482&gt;60,I482&lt;=80),3, IF(AND(I482&gt;80,I482&lt;=100),4,”5”)))))</f>
        <v>1</v>
      </c>
    </row>
    <row r="483" spans="1:10" x14ac:dyDescent="0.3">
      <c r="A483" t="str">
        <f t="shared" si="10"/>
        <v>59036_56</v>
      </c>
      <c r="B483">
        <f>VLOOKUP(C483,[1]lookuptable!$A$1:$C$7,2,0)</f>
        <v>59036</v>
      </c>
      <c r="C483" t="s">
        <v>12</v>
      </c>
      <c r="D483" s="1">
        <v>56</v>
      </c>
      <c r="E483">
        <v>0</v>
      </c>
      <c r="F483">
        <v>130</v>
      </c>
      <c r="G483">
        <v>130</v>
      </c>
      <c r="H483">
        <v>403</v>
      </c>
      <c r="I483" s="2">
        <v>32.258064519999998</v>
      </c>
      <c r="J483" cm="1">
        <f t="array" ref="J483">IF(AND(I483&gt;=0,I483&lt;=20),0,IF(AND(I483&gt;20,I483&lt;=40),1, IF(AND(I483&gt;40,I483&lt;=60),2,IF(AND(I483&gt;60,I483&lt;=80),3, IF(AND(I483&gt;80,I483&lt;=100),4,”5”)))))</f>
        <v>1</v>
      </c>
    </row>
    <row r="484" spans="1:10" x14ac:dyDescent="0.3">
      <c r="A484" t="str">
        <f t="shared" si="10"/>
        <v>59036_57</v>
      </c>
      <c r="B484">
        <f>VLOOKUP(C484,[1]lookuptable!$A$1:$C$7,2,0)</f>
        <v>59036</v>
      </c>
      <c r="C484" t="s">
        <v>12</v>
      </c>
      <c r="D484" s="1">
        <v>57</v>
      </c>
      <c r="E484">
        <v>0</v>
      </c>
      <c r="F484">
        <v>95</v>
      </c>
      <c r="G484">
        <v>95</v>
      </c>
      <c r="H484">
        <v>409</v>
      </c>
      <c r="I484" s="2">
        <v>23.22738386</v>
      </c>
      <c r="J484" cm="1">
        <f t="array" ref="J484">IF(AND(I484&gt;=0,I484&lt;=20),0,IF(AND(I484&gt;20,I484&lt;=40),1, IF(AND(I484&gt;40,I484&lt;=60),2,IF(AND(I484&gt;60,I484&lt;=80),3, IF(AND(I484&gt;80,I484&lt;=100),4,”5”)))))</f>
        <v>1</v>
      </c>
    </row>
    <row r="485" spans="1:10" x14ac:dyDescent="0.3">
      <c r="A485" t="str">
        <f t="shared" si="10"/>
        <v>59036_58</v>
      </c>
      <c r="B485">
        <f>VLOOKUP(C485,[1]lookuptable!$A$1:$C$7,2,0)</f>
        <v>59036</v>
      </c>
      <c r="C485" t="s">
        <v>12</v>
      </c>
      <c r="D485" s="1">
        <v>58</v>
      </c>
      <c r="E485">
        <v>0</v>
      </c>
      <c r="F485">
        <v>127</v>
      </c>
      <c r="G485">
        <v>127</v>
      </c>
      <c r="H485">
        <v>390</v>
      </c>
      <c r="I485" s="2">
        <v>32.564102560000002</v>
      </c>
      <c r="J485" cm="1">
        <f t="array" ref="J485">IF(AND(I485&gt;=0,I485&lt;=20),0,IF(AND(I485&gt;20,I485&lt;=40),1, IF(AND(I485&gt;40,I485&lt;=60),2,IF(AND(I485&gt;60,I485&lt;=80),3, IF(AND(I485&gt;80,I485&lt;=100),4,”5”)))))</f>
        <v>1</v>
      </c>
    </row>
    <row r="486" spans="1:10" x14ac:dyDescent="0.3">
      <c r="A486" t="str">
        <f t="shared" si="10"/>
        <v>59036_59</v>
      </c>
      <c r="B486">
        <f>VLOOKUP(C486,[1]lookuptable!$A$1:$C$7,2,0)</f>
        <v>59036</v>
      </c>
      <c r="C486" t="s">
        <v>12</v>
      </c>
      <c r="D486" s="1">
        <v>59</v>
      </c>
      <c r="E486">
        <v>0</v>
      </c>
      <c r="F486">
        <v>116</v>
      </c>
      <c r="G486">
        <v>116</v>
      </c>
      <c r="H486">
        <v>423</v>
      </c>
      <c r="I486" s="2">
        <v>27.423167849999999</v>
      </c>
      <c r="J486" cm="1">
        <f t="array" ref="J486">IF(AND(I486&gt;=0,I486&lt;=20),0,IF(AND(I486&gt;20,I486&lt;=40),1, IF(AND(I486&gt;40,I486&lt;=60),2,IF(AND(I486&gt;60,I486&lt;=80),3, IF(AND(I486&gt;80,I486&lt;=100),4,”5”)))))</f>
        <v>1</v>
      </c>
    </row>
    <row r="487" spans="1:10" x14ac:dyDescent="0.3">
      <c r="A487" t="str">
        <f t="shared" si="10"/>
        <v>59036_60</v>
      </c>
      <c r="B487">
        <f>VLOOKUP(C487,[1]lookuptable!$A$1:$C$7,2,0)</f>
        <v>59036</v>
      </c>
      <c r="C487" t="s">
        <v>12</v>
      </c>
      <c r="D487" s="1">
        <v>60</v>
      </c>
      <c r="E487">
        <v>0</v>
      </c>
      <c r="F487">
        <v>140</v>
      </c>
      <c r="G487">
        <v>140</v>
      </c>
      <c r="H487">
        <v>392</v>
      </c>
      <c r="I487" s="2">
        <v>35.714285709999999</v>
      </c>
      <c r="J487" cm="1">
        <f t="array" ref="J487">IF(AND(I487&gt;=0,I487&lt;=20),0,IF(AND(I487&gt;20,I487&lt;=40),1, IF(AND(I487&gt;40,I487&lt;=60),2,IF(AND(I487&gt;60,I487&lt;=80),3, IF(AND(I487&gt;80,I487&lt;=100),4,”5”)))))</f>
        <v>1</v>
      </c>
    </row>
    <row r="488" spans="1:10" x14ac:dyDescent="0.3">
      <c r="A488" t="str">
        <f t="shared" si="10"/>
        <v>59036_61</v>
      </c>
      <c r="B488">
        <f>VLOOKUP(C488,[1]lookuptable!$A$1:$C$7,2,0)</f>
        <v>59036</v>
      </c>
      <c r="C488" t="s">
        <v>12</v>
      </c>
      <c r="D488" s="1">
        <v>61</v>
      </c>
      <c r="E488">
        <v>0</v>
      </c>
      <c r="F488">
        <v>155</v>
      </c>
      <c r="G488">
        <v>155</v>
      </c>
      <c r="H488">
        <v>500</v>
      </c>
      <c r="I488" s="2">
        <v>31</v>
      </c>
      <c r="J488" cm="1">
        <f t="array" ref="J488">IF(AND(I488&gt;=0,I488&lt;=20),0,IF(AND(I488&gt;20,I488&lt;=40),1, IF(AND(I488&gt;40,I488&lt;=60),2,IF(AND(I488&gt;60,I488&lt;=80),3, IF(AND(I488&gt;80,I488&lt;=100),4,”5”)))))</f>
        <v>1</v>
      </c>
    </row>
    <row r="489" spans="1:10" x14ac:dyDescent="0.3">
      <c r="A489" t="str">
        <f t="shared" si="10"/>
        <v>59036_62</v>
      </c>
      <c r="B489">
        <f>VLOOKUP(C489,[1]lookuptable!$A$1:$C$7,2,0)</f>
        <v>59036</v>
      </c>
      <c r="C489" t="s">
        <v>12</v>
      </c>
      <c r="D489" s="1">
        <v>62</v>
      </c>
      <c r="E489">
        <v>1</v>
      </c>
      <c r="F489">
        <v>129</v>
      </c>
      <c r="G489">
        <v>130</v>
      </c>
      <c r="H489">
        <v>459</v>
      </c>
      <c r="I489" s="2">
        <v>28.322440090000001</v>
      </c>
      <c r="J489" cm="1">
        <f t="array" ref="J489">IF(AND(I489&gt;=0,I489&lt;=20),0,IF(AND(I489&gt;20,I489&lt;=40),1, IF(AND(I489&gt;40,I489&lt;=60),2,IF(AND(I489&gt;60,I489&lt;=80),3, IF(AND(I489&gt;80,I489&lt;=100),4,”5”)))))</f>
        <v>1</v>
      </c>
    </row>
    <row r="490" spans="1:10" x14ac:dyDescent="0.3">
      <c r="A490" t="str">
        <f t="shared" si="10"/>
        <v>59036_63</v>
      </c>
      <c r="B490">
        <f>VLOOKUP(C490,[1]lookuptable!$A$1:$C$7,2,0)</f>
        <v>59036</v>
      </c>
      <c r="C490" t="s">
        <v>12</v>
      </c>
      <c r="D490" s="1">
        <v>63</v>
      </c>
      <c r="E490">
        <v>1</v>
      </c>
      <c r="F490">
        <v>126</v>
      </c>
      <c r="G490">
        <v>127</v>
      </c>
      <c r="H490">
        <v>433</v>
      </c>
      <c r="I490" s="2">
        <v>29.33025404</v>
      </c>
      <c r="J490" cm="1">
        <f t="array" ref="J490">IF(AND(I490&gt;=0,I490&lt;=20),0,IF(AND(I490&gt;20,I490&lt;=40),1, IF(AND(I490&gt;40,I490&lt;=60),2,IF(AND(I490&gt;60,I490&lt;=80),3, IF(AND(I490&gt;80,I490&lt;=100),4,”5”)))))</f>
        <v>1</v>
      </c>
    </row>
    <row r="491" spans="1:10" x14ac:dyDescent="0.3">
      <c r="A491" t="str">
        <f t="shared" si="10"/>
        <v>59036_64</v>
      </c>
      <c r="B491">
        <f>VLOOKUP(C491,[1]lookuptable!$A$1:$C$7,2,0)</f>
        <v>59036</v>
      </c>
      <c r="C491" t="s">
        <v>12</v>
      </c>
      <c r="D491" s="1">
        <v>64</v>
      </c>
      <c r="E491">
        <v>0</v>
      </c>
      <c r="F491">
        <v>137</v>
      </c>
      <c r="G491">
        <v>137</v>
      </c>
      <c r="H491">
        <v>539</v>
      </c>
      <c r="I491" s="2">
        <v>25.417439699999999</v>
      </c>
      <c r="J491" cm="1">
        <f t="array" ref="J491">IF(AND(I491&gt;=0,I491&lt;=20),0,IF(AND(I491&gt;20,I491&lt;=40),1, IF(AND(I491&gt;40,I491&lt;=60),2,IF(AND(I491&gt;60,I491&lt;=80),3, IF(AND(I491&gt;80,I491&lt;=100),4,”5”)))))</f>
        <v>1</v>
      </c>
    </row>
    <row r="492" spans="1:10" x14ac:dyDescent="0.3">
      <c r="A492" t="str">
        <f t="shared" si="10"/>
        <v>59036_65</v>
      </c>
      <c r="B492">
        <f>VLOOKUP(C492,[1]lookuptable!$A$1:$C$7,2,0)</f>
        <v>59036</v>
      </c>
      <c r="C492" t="s">
        <v>12</v>
      </c>
      <c r="D492" s="1">
        <v>65</v>
      </c>
      <c r="E492">
        <v>0</v>
      </c>
      <c r="F492">
        <v>108</v>
      </c>
      <c r="G492">
        <v>108</v>
      </c>
      <c r="H492">
        <v>374</v>
      </c>
      <c r="I492" s="2">
        <v>28.877005350000001</v>
      </c>
      <c r="J492" cm="1">
        <f t="array" ref="J492">IF(AND(I492&gt;=0,I492&lt;=20),0,IF(AND(I492&gt;20,I492&lt;=40),1, IF(AND(I492&gt;40,I492&lt;=60),2,IF(AND(I492&gt;60,I492&lt;=80),3, IF(AND(I492&gt;80,I492&lt;=100),4,”5”)))))</f>
        <v>1</v>
      </c>
    </row>
    <row r="493" spans="1:10" x14ac:dyDescent="0.3">
      <c r="A493" t="str">
        <f t="shared" si="10"/>
        <v>59036_66</v>
      </c>
      <c r="B493">
        <f>VLOOKUP(C493,[1]lookuptable!$A$1:$C$7,2,0)</f>
        <v>59036</v>
      </c>
      <c r="C493" t="s">
        <v>12</v>
      </c>
      <c r="D493" s="1">
        <v>66</v>
      </c>
      <c r="E493">
        <v>0</v>
      </c>
      <c r="F493">
        <v>148</v>
      </c>
      <c r="G493">
        <v>148</v>
      </c>
      <c r="H493">
        <v>439</v>
      </c>
      <c r="I493" s="2">
        <v>33.712984050000003</v>
      </c>
      <c r="J493" cm="1">
        <f t="array" ref="J493">IF(AND(I493&gt;=0,I493&lt;=20),0,IF(AND(I493&gt;20,I493&lt;=40),1, IF(AND(I493&gt;40,I493&lt;=60),2,IF(AND(I493&gt;60,I493&lt;=80),3, IF(AND(I493&gt;80,I493&lt;=100),4,”5”)))))</f>
        <v>1</v>
      </c>
    </row>
    <row r="494" spans="1:10" x14ac:dyDescent="0.3">
      <c r="A494" t="str">
        <f t="shared" si="10"/>
        <v>59036_67</v>
      </c>
      <c r="B494">
        <f>VLOOKUP(C494,[1]lookuptable!$A$1:$C$7,2,0)</f>
        <v>59036</v>
      </c>
      <c r="C494" t="s">
        <v>12</v>
      </c>
      <c r="D494" s="1">
        <v>67</v>
      </c>
      <c r="E494">
        <v>1</v>
      </c>
      <c r="F494">
        <v>144</v>
      </c>
      <c r="G494">
        <v>145</v>
      </c>
      <c r="H494">
        <v>535</v>
      </c>
      <c r="I494" s="2">
        <v>27.102803739999999</v>
      </c>
      <c r="J494" cm="1">
        <f t="array" ref="J494">IF(AND(I494&gt;=0,I494&lt;=20),0,IF(AND(I494&gt;20,I494&lt;=40),1, IF(AND(I494&gt;40,I494&lt;=60),2,IF(AND(I494&gt;60,I494&lt;=80),3, IF(AND(I494&gt;80,I494&lt;=100),4,”5”)))))</f>
        <v>1</v>
      </c>
    </row>
    <row r="495" spans="1:10" x14ac:dyDescent="0.3">
      <c r="A495" t="str">
        <f t="shared" si="10"/>
        <v>59036_68</v>
      </c>
      <c r="B495">
        <f>VLOOKUP(C495,[1]lookuptable!$A$1:$C$7,2,0)</f>
        <v>59036</v>
      </c>
      <c r="C495" t="s">
        <v>12</v>
      </c>
      <c r="D495" s="1">
        <v>68</v>
      </c>
      <c r="E495">
        <v>0</v>
      </c>
      <c r="F495">
        <v>128</v>
      </c>
      <c r="G495">
        <v>128</v>
      </c>
      <c r="H495">
        <v>423</v>
      </c>
      <c r="I495" s="2">
        <v>30.260047279999998</v>
      </c>
      <c r="J495" cm="1">
        <f t="array" ref="J495">IF(AND(I495&gt;=0,I495&lt;=20),0,IF(AND(I495&gt;20,I495&lt;=40),1, IF(AND(I495&gt;40,I495&lt;=60),2,IF(AND(I495&gt;60,I495&lt;=80),3, IF(AND(I495&gt;80,I495&lt;=100),4,”5”)))))</f>
        <v>1</v>
      </c>
    </row>
    <row r="496" spans="1:10" x14ac:dyDescent="0.3">
      <c r="A496" t="str">
        <f t="shared" si="10"/>
        <v>59036_69</v>
      </c>
      <c r="B496">
        <f>VLOOKUP(C496,[1]lookuptable!$A$1:$C$7,2,0)</f>
        <v>59036</v>
      </c>
      <c r="C496" t="s">
        <v>12</v>
      </c>
      <c r="D496" s="1">
        <v>69</v>
      </c>
      <c r="E496">
        <v>2</v>
      </c>
      <c r="F496">
        <v>151</v>
      </c>
      <c r="G496">
        <v>153</v>
      </c>
      <c r="H496">
        <v>418</v>
      </c>
      <c r="I496" s="2">
        <v>36.602870809999999</v>
      </c>
      <c r="J496" cm="1">
        <f t="array" ref="J496">IF(AND(I496&gt;=0,I496&lt;=20),0,IF(AND(I496&gt;20,I496&lt;=40),1, IF(AND(I496&gt;40,I496&lt;=60),2,IF(AND(I496&gt;60,I496&lt;=80),3, IF(AND(I496&gt;80,I496&lt;=100),4,”5”)))))</f>
        <v>1</v>
      </c>
    </row>
    <row r="497" spans="1:10" x14ac:dyDescent="0.3">
      <c r="A497" t="str">
        <f t="shared" si="10"/>
        <v>59036_70</v>
      </c>
      <c r="B497">
        <f>VLOOKUP(C497,[1]lookuptable!$A$1:$C$7,2,0)</f>
        <v>59036</v>
      </c>
      <c r="C497" t="s">
        <v>12</v>
      </c>
      <c r="D497" s="1">
        <v>70</v>
      </c>
      <c r="E497">
        <v>1</v>
      </c>
      <c r="F497">
        <v>158</v>
      </c>
      <c r="G497">
        <v>159</v>
      </c>
      <c r="H497">
        <v>432</v>
      </c>
      <c r="I497" s="2">
        <v>36.805555560000002</v>
      </c>
      <c r="J497" cm="1">
        <f t="array" ref="J497">IF(AND(I497&gt;=0,I497&lt;=20),0,IF(AND(I497&gt;20,I497&lt;=40),1, IF(AND(I497&gt;40,I497&lt;=60),2,IF(AND(I497&gt;60,I497&lt;=80),3, IF(AND(I497&gt;80,I497&lt;=100),4,”5”)))))</f>
        <v>1</v>
      </c>
    </row>
    <row r="498" spans="1:10" x14ac:dyDescent="0.3">
      <c r="A498" t="str">
        <f t="shared" si="10"/>
        <v>59036_71</v>
      </c>
      <c r="B498">
        <f>VLOOKUP(C498,[1]lookuptable!$A$1:$C$7,2,0)</f>
        <v>59036</v>
      </c>
      <c r="C498" t="s">
        <v>12</v>
      </c>
      <c r="D498" s="1">
        <v>71</v>
      </c>
      <c r="E498">
        <v>0</v>
      </c>
      <c r="F498">
        <v>126</v>
      </c>
      <c r="G498">
        <v>126</v>
      </c>
      <c r="H498">
        <v>429</v>
      </c>
      <c r="I498" s="2">
        <v>29.37062937</v>
      </c>
      <c r="J498" cm="1">
        <f t="array" ref="J498">IF(AND(I498&gt;=0,I498&lt;=20),0,IF(AND(I498&gt;20,I498&lt;=40),1, IF(AND(I498&gt;40,I498&lt;=60),2,IF(AND(I498&gt;60,I498&lt;=80),3, IF(AND(I498&gt;80,I498&lt;=100),4,”5”)))))</f>
        <v>1</v>
      </c>
    </row>
    <row r="499" spans="1:10" x14ac:dyDescent="0.3">
      <c r="A499" t="str">
        <f t="shared" si="10"/>
        <v>59036_72</v>
      </c>
      <c r="B499">
        <f>VLOOKUP(C499,[1]lookuptable!$A$1:$C$7,2,0)</f>
        <v>59036</v>
      </c>
      <c r="C499" t="s">
        <v>12</v>
      </c>
      <c r="D499" s="1">
        <v>72</v>
      </c>
      <c r="E499">
        <v>0</v>
      </c>
      <c r="F499">
        <v>149</v>
      </c>
      <c r="G499">
        <v>149</v>
      </c>
      <c r="H499">
        <v>410</v>
      </c>
      <c r="I499" s="2">
        <v>36.341463410000003</v>
      </c>
      <c r="J499" cm="1">
        <f t="array" ref="J499">IF(AND(I499&gt;=0,I499&lt;=20),0,IF(AND(I499&gt;20,I499&lt;=40),1, IF(AND(I499&gt;40,I499&lt;=60),2,IF(AND(I499&gt;60,I499&lt;=80),3, IF(AND(I499&gt;80,I499&lt;=100),4,”5”)))))</f>
        <v>1</v>
      </c>
    </row>
    <row r="500" spans="1:10" x14ac:dyDescent="0.3">
      <c r="A500" t="str">
        <f t="shared" si="10"/>
        <v>59036_73</v>
      </c>
      <c r="B500">
        <f>VLOOKUP(C500,[1]lookuptable!$A$1:$C$7,2,0)</f>
        <v>59036</v>
      </c>
      <c r="C500" t="s">
        <v>12</v>
      </c>
      <c r="D500" s="1">
        <v>73</v>
      </c>
      <c r="E500">
        <v>0</v>
      </c>
      <c r="F500">
        <v>96</v>
      </c>
      <c r="G500">
        <v>96</v>
      </c>
      <c r="H500">
        <v>433</v>
      </c>
      <c r="I500" s="2">
        <v>22.17090069</v>
      </c>
      <c r="J500" cm="1">
        <f t="array" ref="J500">IF(AND(I500&gt;=0,I500&lt;=20),0,IF(AND(I500&gt;20,I500&lt;=40),1, IF(AND(I500&gt;40,I500&lt;=60),2,IF(AND(I500&gt;60,I500&lt;=80),3, IF(AND(I500&gt;80,I500&lt;=100),4,”5”)))))</f>
        <v>1</v>
      </c>
    </row>
    <row r="501" spans="1:10" x14ac:dyDescent="0.3">
      <c r="A501" t="str">
        <f t="shared" si="10"/>
        <v>59036_74</v>
      </c>
      <c r="B501">
        <f>VLOOKUP(C501,[1]lookuptable!$A$1:$C$7,2,0)</f>
        <v>59036</v>
      </c>
      <c r="C501" t="s">
        <v>12</v>
      </c>
      <c r="D501" s="1">
        <v>74</v>
      </c>
      <c r="E501">
        <v>0</v>
      </c>
      <c r="F501">
        <v>135</v>
      </c>
      <c r="G501">
        <v>135</v>
      </c>
      <c r="H501">
        <v>405</v>
      </c>
      <c r="I501" s="2">
        <v>33.333333330000002</v>
      </c>
      <c r="J501" cm="1">
        <f t="array" ref="J501">IF(AND(I501&gt;=0,I501&lt;=20),0,IF(AND(I501&gt;20,I501&lt;=40),1, IF(AND(I501&gt;40,I501&lt;=60),2,IF(AND(I501&gt;60,I501&lt;=80),3, IF(AND(I501&gt;80,I501&lt;=100),4,”5”)))))</f>
        <v>1</v>
      </c>
    </row>
    <row r="502" spans="1:10" x14ac:dyDescent="0.3">
      <c r="A502" t="str">
        <f t="shared" si="10"/>
        <v>59036_75</v>
      </c>
      <c r="B502">
        <f>VLOOKUP(C502,[1]lookuptable!$A$1:$C$7,2,0)</f>
        <v>59036</v>
      </c>
      <c r="C502" t="s">
        <v>12</v>
      </c>
      <c r="D502" s="1">
        <v>75</v>
      </c>
      <c r="E502">
        <v>0</v>
      </c>
      <c r="F502">
        <v>131</v>
      </c>
      <c r="G502">
        <v>131</v>
      </c>
      <c r="H502">
        <v>399</v>
      </c>
      <c r="I502" s="2">
        <v>32.8320802</v>
      </c>
      <c r="J502" cm="1">
        <f t="array" ref="J502">IF(AND(I502&gt;=0,I502&lt;=20),0,IF(AND(I502&gt;20,I502&lt;=40),1, IF(AND(I502&gt;40,I502&lt;=60),2,IF(AND(I502&gt;60,I502&lt;=80),3, IF(AND(I502&gt;80,I502&lt;=100),4,”5”)))))</f>
        <v>1</v>
      </c>
    </row>
    <row r="503" spans="1:10" x14ac:dyDescent="0.3">
      <c r="A503" t="str">
        <f t="shared" si="10"/>
        <v>59036_76</v>
      </c>
      <c r="B503">
        <f>VLOOKUP(C503,[1]lookuptable!$A$1:$C$7,2,0)</f>
        <v>59036</v>
      </c>
      <c r="C503" t="s">
        <v>12</v>
      </c>
      <c r="D503" s="1">
        <v>76</v>
      </c>
      <c r="E503">
        <v>1</v>
      </c>
      <c r="F503">
        <v>133</v>
      </c>
      <c r="G503">
        <v>134</v>
      </c>
      <c r="H503">
        <v>403</v>
      </c>
      <c r="I503" s="2">
        <v>33.250620349999998</v>
      </c>
      <c r="J503" cm="1">
        <f t="array" ref="J503">IF(AND(I503&gt;=0,I503&lt;=20),0,IF(AND(I503&gt;20,I503&lt;=40),1, IF(AND(I503&gt;40,I503&lt;=60),2,IF(AND(I503&gt;60,I503&lt;=80),3, IF(AND(I503&gt;80,I503&lt;=100),4,”5”)))))</f>
        <v>1</v>
      </c>
    </row>
    <row r="504" spans="1:10" x14ac:dyDescent="0.3">
      <c r="A504" t="str">
        <f t="shared" si="10"/>
        <v>59036_77</v>
      </c>
      <c r="B504">
        <f>VLOOKUP(C504,[1]lookuptable!$A$1:$C$7,2,0)</f>
        <v>59036</v>
      </c>
      <c r="C504" t="s">
        <v>12</v>
      </c>
      <c r="D504" s="1">
        <v>77</v>
      </c>
      <c r="E504">
        <v>0</v>
      </c>
      <c r="F504">
        <v>132</v>
      </c>
      <c r="G504">
        <v>132</v>
      </c>
      <c r="H504">
        <v>429</v>
      </c>
      <c r="I504" s="2">
        <v>30.76923077</v>
      </c>
      <c r="J504" cm="1">
        <f t="array" ref="J504">IF(AND(I504&gt;=0,I504&lt;=20),0,IF(AND(I504&gt;20,I504&lt;=40),1, IF(AND(I504&gt;40,I504&lt;=60),2,IF(AND(I504&gt;60,I504&lt;=80),3, IF(AND(I504&gt;80,I504&lt;=100),4,”5”)))))</f>
        <v>1</v>
      </c>
    </row>
    <row r="505" spans="1:10" x14ac:dyDescent="0.3">
      <c r="A505" t="str">
        <f t="shared" si="10"/>
        <v>59036_78</v>
      </c>
      <c r="B505">
        <f>VLOOKUP(C505,[1]lookuptable!$A$1:$C$7,2,0)</f>
        <v>59036</v>
      </c>
      <c r="C505" t="s">
        <v>12</v>
      </c>
      <c r="D505" s="1">
        <v>78</v>
      </c>
      <c r="E505">
        <v>0</v>
      </c>
      <c r="F505">
        <v>104</v>
      </c>
      <c r="G505">
        <v>104</v>
      </c>
      <c r="H505">
        <v>394</v>
      </c>
      <c r="I505" s="2">
        <v>26.395939089999999</v>
      </c>
      <c r="J505" cm="1">
        <f t="array" ref="J505">IF(AND(I505&gt;=0,I505&lt;=20),0,IF(AND(I505&gt;20,I505&lt;=40),1, IF(AND(I505&gt;40,I505&lt;=60),2,IF(AND(I505&gt;60,I505&lt;=80),3, IF(AND(I505&gt;80,I505&lt;=100),4,”5”)))))</f>
        <v>1</v>
      </c>
    </row>
    <row r="506" spans="1:10" x14ac:dyDescent="0.3">
      <c r="A506" t="str">
        <f t="shared" si="10"/>
        <v>59036_79</v>
      </c>
      <c r="B506">
        <f>VLOOKUP(C506,[1]lookuptable!$A$1:$C$7,2,0)</f>
        <v>59036</v>
      </c>
      <c r="C506" t="s">
        <v>12</v>
      </c>
      <c r="D506" s="1">
        <v>79</v>
      </c>
      <c r="E506">
        <v>0</v>
      </c>
      <c r="F506">
        <v>164</v>
      </c>
      <c r="G506">
        <v>164</v>
      </c>
      <c r="H506">
        <v>419</v>
      </c>
      <c r="I506" s="2">
        <v>39.140811460000002</v>
      </c>
      <c r="J506" cm="1">
        <f t="array" ref="J506">IF(AND(I506&gt;=0,I506&lt;=20),0,IF(AND(I506&gt;20,I506&lt;=40),1, IF(AND(I506&gt;40,I506&lt;=60),2,IF(AND(I506&gt;60,I506&lt;=80),3, IF(AND(I506&gt;80,I506&lt;=100),4,”5”)))))</f>
        <v>1</v>
      </c>
    </row>
    <row r="507" spans="1:10" x14ac:dyDescent="0.3">
      <c r="A507" t="str">
        <f t="shared" si="10"/>
        <v>59036_80</v>
      </c>
      <c r="B507">
        <f>VLOOKUP(C507,[1]lookuptable!$A$1:$C$7,2,0)</f>
        <v>59036</v>
      </c>
      <c r="C507" t="s">
        <v>12</v>
      </c>
      <c r="D507" s="1">
        <v>80</v>
      </c>
      <c r="E507">
        <v>1</v>
      </c>
      <c r="F507">
        <v>149</v>
      </c>
      <c r="G507">
        <v>150</v>
      </c>
      <c r="H507">
        <v>403</v>
      </c>
      <c r="I507" s="2">
        <v>37.220843670000001</v>
      </c>
      <c r="J507" cm="1">
        <f t="array" ref="J507">IF(AND(I507&gt;=0,I507&lt;=20),0,IF(AND(I507&gt;20,I507&lt;=40),1, IF(AND(I507&gt;40,I507&lt;=60),2,IF(AND(I507&gt;60,I507&lt;=80),3, IF(AND(I507&gt;80,I507&lt;=100),4,”5”)))))</f>
        <v>1</v>
      </c>
    </row>
    <row r="508" spans="1:10" x14ac:dyDescent="0.3">
      <c r="A508" t="str">
        <f t="shared" si="10"/>
        <v>59036_81</v>
      </c>
      <c r="B508">
        <f>VLOOKUP(C508,[1]lookuptable!$A$1:$C$7,2,0)</f>
        <v>59036</v>
      </c>
      <c r="C508" t="s">
        <v>12</v>
      </c>
      <c r="D508" s="1">
        <v>81</v>
      </c>
      <c r="E508">
        <v>0</v>
      </c>
      <c r="F508">
        <v>127</v>
      </c>
      <c r="G508">
        <v>127</v>
      </c>
      <c r="H508">
        <v>351</v>
      </c>
      <c r="I508" s="2">
        <v>36.18233618</v>
      </c>
      <c r="J508" cm="1">
        <f t="array" ref="J508">IF(AND(I508&gt;=0,I508&lt;=20),0,IF(AND(I508&gt;20,I508&lt;=40),1, IF(AND(I508&gt;40,I508&lt;=60),2,IF(AND(I508&gt;60,I508&lt;=80),3, IF(AND(I508&gt;80,I508&lt;=100),4,”5”)))))</f>
        <v>1</v>
      </c>
    </row>
    <row r="509" spans="1:10" x14ac:dyDescent="0.3">
      <c r="A509" t="str">
        <f t="shared" si="10"/>
        <v>59036_82</v>
      </c>
      <c r="B509">
        <f>VLOOKUP(C509,[1]lookuptable!$A$1:$C$7,2,0)</f>
        <v>59036</v>
      </c>
      <c r="C509" t="s">
        <v>12</v>
      </c>
      <c r="D509" s="1">
        <v>82</v>
      </c>
      <c r="E509">
        <v>2</v>
      </c>
      <c r="F509">
        <v>196</v>
      </c>
      <c r="G509">
        <v>198</v>
      </c>
      <c r="H509">
        <v>483</v>
      </c>
      <c r="I509" s="2">
        <v>40.993788819999999</v>
      </c>
      <c r="J509" cm="1">
        <f t="array" ref="J509">IF(AND(I509&gt;=0,I509&lt;=20),0,IF(AND(I509&gt;20,I509&lt;=40),1, IF(AND(I509&gt;40,I509&lt;=60),2,IF(AND(I509&gt;60,I509&lt;=80),3, IF(AND(I509&gt;80,I509&lt;=100),4,”5”)))))</f>
        <v>2</v>
      </c>
    </row>
    <row r="510" spans="1:10" x14ac:dyDescent="0.3">
      <c r="A510" t="str">
        <f t="shared" si="10"/>
        <v>59036_83</v>
      </c>
      <c r="B510">
        <f>VLOOKUP(C510,[1]lookuptable!$A$1:$C$7,2,0)</f>
        <v>59036</v>
      </c>
      <c r="C510" t="s">
        <v>12</v>
      </c>
      <c r="D510" s="1">
        <v>83</v>
      </c>
      <c r="E510">
        <v>0</v>
      </c>
      <c r="F510">
        <v>176</v>
      </c>
      <c r="G510">
        <v>176</v>
      </c>
      <c r="H510">
        <v>412</v>
      </c>
      <c r="I510" s="2">
        <v>42.7184466</v>
      </c>
      <c r="J510" cm="1">
        <f t="array" ref="J510">IF(AND(I510&gt;=0,I510&lt;=20),0,IF(AND(I510&gt;20,I510&lt;=40),1, IF(AND(I510&gt;40,I510&lt;=60),2,IF(AND(I510&gt;60,I510&lt;=80),3, IF(AND(I510&gt;80,I510&lt;=100),4,”5”)))))</f>
        <v>2</v>
      </c>
    </row>
    <row r="511" spans="1:10" x14ac:dyDescent="0.3">
      <c r="A511" t="str">
        <f t="shared" si="10"/>
        <v>59036_84</v>
      </c>
      <c r="B511">
        <f>VLOOKUP(C511,[1]lookuptable!$A$1:$C$7,2,0)</f>
        <v>59036</v>
      </c>
      <c r="C511" t="s">
        <v>12</v>
      </c>
      <c r="D511" s="1">
        <v>84</v>
      </c>
      <c r="E511">
        <v>0</v>
      </c>
      <c r="F511">
        <v>179</v>
      </c>
      <c r="G511">
        <v>179</v>
      </c>
      <c r="H511">
        <v>488</v>
      </c>
      <c r="I511" s="2">
        <v>36.680327869999999</v>
      </c>
      <c r="J511" cm="1">
        <f t="array" ref="J511">IF(AND(I511&gt;=0,I511&lt;=20),0,IF(AND(I511&gt;20,I511&lt;=40),1, IF(AND(I511&gt;40,I511&lt;=60),2,IF(AND(I511&gt;60,I511&lt;=80),3, IF(AND(I511&gt;80,I511&lt;=100),4,”5”)))))</f>
        <v>1</v>
      </c>
    </row>
    <row r="512" spans="1:10" x14ac:dyDescent="0.3">
      <c r="A512" t="str">
        <f t="shared" si="10"/>
        <v>59036_85</v>
      </c>
      <c r="B512">
        <f>VLOOKUP(C512,[1]lookuptable!$A$1:$C$7,2,0)</f>
        <v>59036</v>
      </c>
      <c r="C512" t="s">
        <v>12</v>
      </c>
      <c r="D512" s="1">
        <v>85</v>
      </c>
      <c r="E512">
        <v>1</v>
      </c>
      <c r="F512">
        <v>209</v>
      </c>
      <c r="G512">
        <v>210</v>
      </c>
      <c r="H512">
        <v>469</v>
      </c>
      <c r="I512" s="2">
        <v>44.776119399999999</v>
      </c>
      <c r="J512" cm="1">
        <f t="array" ref="J512">IF(AND(I512&gt;=0,I512&lt;=20),0,IF(AND(I512&gt;20,I512&lt;=40),1, IF(AND(I512&gt;40,I512&lt;=60),2,IF(AND(I512&gt;60,I512&lt;=80),3, IF(AND(I512&gt;80,I512&lt;=100),4,”5”)))))</f>
        <v>2</v>
      </c>
    </row>
    <row r="513" spans="1:10" x14ac:dyDescent="0.3">
      <c r="A513" t="str">
        <f t="shared" si="10"/>
        <v>59036_86</v>
      </c>
      <c r="B513">
        <f>VLOOKUP(C513,[1]lookuptable!$A$1:$C$7,2,0)</f>
        <v>59036</v>
      </c>
      <c r="C513" t="s">
        <v>12</v>
      </c>
      <c r="D513" s="1">
        <v>86</v>
      </c>
      <c r="E513">
        <v>0</v>
      </c>
      <c r="F513">
        <v>197</v>
      </c>
      <c r="G513">
        <v>197</v>
      </c>
      <c r="H513">
        <v>476</v>
      </c>
      <c r="I513" s="2">
        <v>41.386554619999998</v>
      </c>
      <c r="J513" cm="1">
        <f t="array" ref="J513">IF(AND(I513&gt;=0,I513&lt;=20),0,IF(AND(I513&gt;20,I513&lt;=40),1, IF(AND(I513&gt;40,I513&lt;=60),2,IF(AND(I513&gt;60,I513&lt;=80),3, IF(AND(I513&gt;80,I513&lt;=100),4,”5”)))))</f>
        <v>2</v>
      </c>
    </row>
    <row r="514" spans="1:10" x14ac:dyDescent="0.3">
      <c r="A514" t="str">
        <f t="shared" ref="A514:A577" si="11">CONCATENATE(B514,"_",D514)</f>
        <v>59036_87</v>
      </c>
      <c r="B514">
        <f>VLOOKUP(C514,[1]lookuptable!$A$1:$C$7,2,0)</f>
        <v>59036</v>
      </c>
      <c r="C514" t="s">
        <v>12</v>
      </c>
      <c r="D514" s="1">
        <v>87</v>
      </c>
      <c r="E514">
        <v>1</v>
      </c>
      <c r="F514">
        <v>177</v>
      </c>
      <c r="G514">
        <v>178</v>
      </c>
      <c r="H514">
        <v>442</v>
      </c>
      <c r="I514" s="2">
        <v>40.271493210000003</v>
      </c>
      <c r="J514" cm="1">
        <f t="array" ref="J514">IF(AND(I514&gt;=0,I514&lt;=20),0,IF(AND(I514&gt;20,I514&lt;=40),1, IF(AND(I514&gt;40,I514&lt;=60),2,IF(AND(I514&gt;60,I514&lt;=80),3, IF(AND(I514&gt;80,I514&lt;=100),4,”5”)))))</f>
        <v>2</v>
      </c>
    </row>
    <row r="515" spans="1:10" x14ac:dyDescent="0.3">
      <c r="A515" t="str">
        <f t="shared" si="11"/>
        <v>59036_88</v>
      </c>
      <c r="B515">
        <f>VLOOKUP(C515,[1]lookuptable!$A$1:$C$7,2,0)</f>
        <v>59036</v>
      </c>
      <c r="C515" t="s">
        <v>12</v>
      </c>
      <c r="D515" s="1">
        <v>88</v>
      </c>
      <c r="E515">
        <v>0</v>
      </c>
      <c r="F515">
        <v>109</v>
      </c>
      <c r="G515">
        <v>109</v>
      </c>
      <c r="H515">
        <v>345</v>
      </c>
      <c r="I515" s="2">
        <v>31.594202899999999</v>
      </c>
      <c r="J515" cm="1">
        <f t="array" ref="J515">IF(AND(I515&gt;=0,I515&lt;=20),0,IF(AND(I515&gt;20,I515&lt;=40),1, IF(AND(I515&gt;40,I515&lt;=60),2,IF(AND(I515&gt;60,I515&lt;=80),3, IF(AND(I515&gt;80,I515&lt;=100),4,”5”)))))</f>
        <v>1</v>
      </c>
    </row>
    <row r="516" spans="1:10" x14ac:dyDescent="0.3">
      <c r="A516" t="str">
        <f t="shared" si="11"/>
        <v>59036_89</v>
      </c>
      <c r="B516">
        <f>VLOOKUP(C516,[1]lookuptable!$A$1:$C$7,2,0)</f>
        <v>59036</v>
      </c>
      <c r="C516" t="s">
        <v>12</v>
      </c>
      <c r="D516" s="1">
        <v>89</v>
      </c>
      <c r="E516">
        <v>3</v>
      </c>
      <c r="F516">
        <v>177</v>
      </c>
      <c r="G516">
        <v>180</v>
      </c>
      <c r="H516">
        <v>457</v>
      </c>
      <c r="I516" s="2">
        <v>39.387308529999999</v>
      </c>
      <c r="J516" cm="1">
        <f t="array" ref="J516">IF(AND(I516&gt;=0,I516&lt;=20),0,IF(AND(I516&gt;20,I516&lt;=40),1, IF(AND(I516&gt;40,I516&lt;=60),2,IF(AND(I516&gt;60,I516&lt;=80),3, IF(AND(I516&gt;80,I516&lt;=100),4,”5”)))))</f>
        <v>1</v>
      </c>
    </row>
    <row r="517" spans="1:10" x14ac:dyDescent="0.3">
      <c r="A517" t="str">
        <f t="shared" si="11"/>
        <v>59036_90</v>
      </c>
      <c r="B517">
        <f>VLOOKUP(C517,[1]lookuptable!$A$1:$C$7,2,0)</f>
        <v>59036</v>
      </c>
      <c r="C517" t="s">
        <v>12</v>
      </c>
      <c r="D517" s="1">
        <v>90</v>
      </c>
      <c r="E517">
        <v>1</v>
      </c>
      <c r="F517">
        <v>199</v>
      </c>
      <c r="G517">
        <v>200</v>
      </c>
      <c r="H517">
        <v>464</v>
      </c>
      <c r="I517" s="2">
        <v>43.103448280000002</v>
      </c>
      <c r="J517" cm="1">
        <f t="array" ref="J517">IF(AND(I517&gt;=0,I517&lt;=20),0,IF(AND(I517&gt;20,I517&lt;=40),1, IF(AND(I517&gt;40,I517&lt;=60),2,IF(AND(I517&gt;60,I517&lt;=80),3, IF(AND(I517&gt;80,I517&lt;=100),4,”5”)))))</f>
        <v>2</v>
      </c>
    </row>
    <row r="518" spans="1:10" x14ac:dyDescent="0.3">
      <c r="A518" t="str">
        <f t="shared" si="11"/>
        <v>59036_91</v>
      </c>
      <c r="B518">
        <f>VLOOKUP(C518,[1]lookuptable!$A$1:$C$7,2,0)</f>
        <v>59036</v>
      </c>
      <c r="C518" t="s">
        <v>12</v>
      </c>
      <c r="D518" s="1">
        <v>91</v>
      </c>
      <c r="E518">
        <v>1</v>
      </c>
      <c r="F518">
        <v>150</v>
      </c>
      <c r="G518">
        <v>151</v>
      </c>
      <c r="H518">
        <v>462</v>
      </c>
      <c r="I518" s="2">
        <v>32.68398268</v>
      </c>
      <c r="J518" cm="1">
        <f t="array" ref="J518">IF(AND(I518&gt;=0,I518&lt;=20),0,IF(AND(I518&gt;20,I518&lt;=40),1, IF(AND(I518&gt;40,I518&lt;=60),2,IF(AND(I518&gt;60,I518&lt;=80),3, IF(AND(I518&gt;80,I518&lt;=100),4,”5”)))))</f>
        <v>1</v>
      </c>
    </row>
    <row r="519" spans="1:10" x14ac:dyDescent="0.3">
      <c r="A519" t="str">
        <f t="shared" si="11"/>
        <v>59036_92</v>
      </c>
      <c r="B519">
        <f>VLOOKUP(C519,[1]lookuptable!$A$1:$C$7,2,0)</f>
        <v>59036</v>
      </c>
      <c r="C519" t="s">
        <v>12</v>
      </c>
      <c r="D519" s="1">
        <v>92</v>
      </c>
      <c r="E519">
        <v>0</v>
      </c>
      <c r="F519">
        <v>152</v>
      </c>
      <c r="G519">
        <v>152</v>
      </c>
      <c r="H519">
        <v>455</v>
      </c>
      <c r="I519" s="2">
        <v>33.406593409999999</v>
      </c>
      <c r="J519" cm="1">
        <f t="array" ref="J519">IF(AND(I519&gt;=0,I519&lt;=20),0,IF(AND(I519&gt;20,I519&lt;=40),1, IF(AND(I519&gt;40,I519&lt;=60),2,IF(AND(I519&gt;60,I519&lt;=80),3, IF(AND(I519&gt;80,I519&lt;=100),4,”5”)))))</f>
        <v>1</v>
      </c>
    </row>
    <row r="520" spans="1:10" x14ac:dyDescent="0.3">
      <c r="A520" t="str">
        <f t="shared" si="11"/>
        <v>59036_93</v>
      </c>
      <c r="B520">
        <f>VLOOKUP(C520,[1]lookuptable!$A$1:$C$7,2,0)</f>
        <v>59036</v>
      </c>
      <c r="C520" t="s">
        <v>12</v>
      </c>
      <c r="D520" s="1">
        <v>93</v>
      </c>
      <c r="E520">
        <v>0</v>
      </c>
      <c r="F520">
        <v>112</v>
      </c>
      <c r="G520">
        <v>112</v>
      </c>
      <c r="H520">
        <v>341</v>
      </c>
      <c r="I520" s="2">
        <v>32.844574780000002</v>
      </c>
      <c r="J520" cm="1">
        <f t="array" ref="J520">IF(AND(I520&gt;=0,I520&lt;=20),0,IF(AND(I520&gt;20,I520&lt;=40),1, IF(AND(I520&gt;40,I520&lt;=60),2,IF(AND(I520&gt;60,I520&lt;=80),3, IF(AND(I520&gt;80,I520&lt;=100),4,”5”)))))</f>
        <v>1</v>
      </c>
    </row>
    <row r="521" spans="1:10" x14ac:dyDescent="0.3">
      <c r="A521" t="str">
        <f t="shared" si="11"/>
        <v>59036_94</v>
      </c>
      <c r="B521">
        <f>VLOOKUP(C521,[1]lookuptable!$A$1:$C$7,2,0)</f>
        <v>59036</v>
      </c>
      <c r="C521" t="s">
        <v>12</v>
      </c>
      <c r="D521" s="1">
        <v>94</v>
      </c>
      <c r="E521">
        <v>0</v>
      </c>
      <c r="F521">
        <v>133</v>
      </c>
      <c r="G521">
        <v>133</v>
      </c>
      <c r="H521">
        <v>345</v>
      </c>
      <c r="I521" s="2">
        <v>38.550724639999999</v>
      </c>
      <c r="J521" cm="1">
        <f t="array" ref="J521">IF(AND(I521&gt;=0,I521&lt;=20),0,IF(AND(I521&gt;20,I521&lt;=40),1, IF(AND(I521&gt;40,I521&lt;=60),2,IF(AND(I521&gt;60,I521&lt;=80),3, IF(AND(I521&gt;80,I521&lt;=100),4,”5”)))))</f>
        <v>1</v>
      </c>
    </row>
    <row r="522" spans="1:10" x14ac:dyDescent="0.3">
      <c r="A522" t="str">
        <f t="shared" si="11"/>
        <v>59036_95</v>
      </c>
      <c r="B522">
        <f>VLOOKUP(C522,[1]lookuptable!$A$1:$C$7,2,0)</f>
        <v>59036</v>
      </c>
      <c r="C522" t="s">
        <v>12</v>
      </c>
      <c r="D522" s="1">
        <v>95</v>
      </c>
      <c r="E522">
        <v>2</v>
      </c>
      <c r="F522">
        <v>167</v>
      </c>
      <c r="G522">
        <v>169</v>
      </c>
      <c r="H522">
        <v>430</v>
      </c>
      <c r="I522" s="2">
        <v>39.302325580000002</v>
      </c>
      <c r="J522" cm="1">
        <f t="array" ref="J522">IF(AND(I522&gt;=0,I522&lt;=20),0,IF(AND(I522&gt;20,I522&lt;=40),1, IF(AND(I522&gt;40,I522&lt;=60),2,IF(AND(I522&gt;60,I522&lt;=80),3, IF(AND(I522&gt;80,I522&lt;=100),4,”5”)))))</f>
        <v>1</v>
      </c>
    </row>
    <row r="523" spans="1:10" x14ac:dyDescent="0.3">
      <c r="A523" t="str">
        <f t="shared" si="11"/>
        <v>59036_96</v>
      </c>
      <c r="B523">
        <f>VLOOKUP(C523,[1]lookuptable!$A$1:$C$7,2,0)</f>
        <v>59036</v>
      </c>
      <c r="C523" t="s">
        <v>12</v>
      </c>
      <c r="D523" s="1">
        <v>96</v>
      </c>
      <c r="E523">
        <v>0</v>
      </c>
      <c r="F523">
        <v>152</v>
      </c>
      <c r="G523">
        <v>152</v>
      </c>
      <c r="H523">
        <v>443</v>
      </c>
      <c r="I523" s="2">
        <v>34.31151242</v>
      </c>
      <c r="J523" cm="1">
        <f t="array" ref="J523">IF(AND(I523&gt;=0,I523&lt;=20),0,IF(AND(I523&gt;20,I523&lt;=40),1, IF(AND(I523&gt;40,I523&lt;=60),2,IF(AND(I523&gt;60,I523&lt;=80),3, IF(AND(I523&gt;80,I523&lt;=100),4,”5”)))))</f>
        <v>1</v>
      </c>
    </row>
    <row r="524" spans="1:10" x14ac:dyDescent="0.3">
      <c r="A524" t="str">
        <f t="shared" si="11"/>
        <v>59036_97</v>
      </c>
      <c r="B524">
        <f>VLOOKUP(C524,[1]lookuptable!$A$1:$C$7,2,0)</f>
        <v>59036</v>
      </c>
      <c r="C524" t="s">
        <v>12</v>
      </c>
      <c r="D524" s="1">
        <v>97</v>
      </c>
      <c r="E524">
        <v>2</v>
      </c>
      <c r="F524">
        <v>137</v>
      </c>
      <c r="G524">
        <v>139</v>
      </c>
      <c r="H524">
        <v>408</v>
      </c>
      <c r="I524" s="2">
        <v>34.068627450000001</v>
      </c>
      <c r="J524" cm="1">
        <f t="array" ref="J524">IF(AND(I524&gt;=0,I524&lt;=20),0,IF(AND(I524&gt;20,I524&lt;=40),1, IF(AND(I524&gt;40,I524&lt;=60),2,IF(AND(I524&gt;60,I524&lt;=80),3, IF(AND(I524&gt;80,I524&lt;=100),4,”5”)))))</f>
        <v>1</v>
      </c>
    </row>
    <row r="525" spans="1:10" x14ac:dyDescent="0.3">
      <c r="A525" t="str">
        <f t="shared" si="11"/>
        <v>59036_98</v>
      </c>
      <c r="B525">
        <f>VLOOKUP(C525,[1]lookuptable!$A$1:$C$7,2,0)</f>
        <v>59036</v>
      </c>
      <c r="C525" t="s">
        <v>12</v>
      </c>
      <c r="D525" s="1">
        <v>98</v>
      </c>
      <c r="E525">
        <v>1</v>
      </c>
      <c r="F525">
        <v>105</v>
      </c>
      <c r="G525">
        <v>106</v>
      </c>
      <c r="H525">
        <v>566</v>
      </c>
      <c r="I525" s="2">
        <v>18.727915190000001</v>
      </c>
      <c r="J525" cm="1">
        <f t="array" ref="J525">IF(AND(I525&gt;=0,I525&lt;=20),0,IF(AND(I525&gt;20,I525&lt;=40),1, IF(AND(I525&gt;40,I525&lt;=60),2,IF(AND(I525&gt;60,I525&lt;=80),3, IF(AND(I525&gt;80,I525&lt;=100),4,”5”)))))</f>
        <v>0</v>
      </c>
    </row>
    <row r="526" spans="1:10" x14ac:dyDescent="0.3">
      <c r="A526" t="str">
        <f t="shared" si="11"/>
        <v>59036_99</v>
      </c>
      <c r="B526">
        <f>VLOOKUP(C526,[1]lookuptable!$A$1:$C$7,2,0)</f>
        <v>59036</v>
      </c>
      <c r="C526" t="s">
        <v>12</v>
      </c>
      <c r="D526" s="1">
        <v>99</v>
      </c>
      <c r="E526">
        <v>0</v>
      </c>
      <c r="F526">
        <v>123</v>
      </c>
      <c r="G526">
        <v>123</v>
      </c>
      <c r="H526">
        <v>527</v>
      </c>
      <c r="I526" s="2">
        <v>23.339658440000001</v>
      </c>
      <c r="J526" cm="1">
        <f t="array" ref="J526">IF(AND(I526&gt;=0,I526&lt;=20),0,IF(AND(I526&gt;20,I526&lt;=40),1, IF(AND(I526&gt;40,I526&lt;=60),2,IF(AND(I526&gt;60,I526&lt;=80),3, IF(AND(I526&gt;80,I526&lt;=100),4,”5”)))))</f>
        <v>1</v>
      </c>
    </row>
    <row r="527" spans="1:10" x14ac:dyDescent="0.3">
      <c r="A527" t="str">
        <f t="shared" si="11"/>
        <v>59036_100</v>
      </c>
      <c r="B527">
        <f>VLOOKUP(C527,[1]lookuptable!$A$1:$C$7,2,0)</f>
        <v>59036</v>
      </c>
      <c r="C527" t="s">
        <v>12</v>
      </c>
      <c r="D527" s="1">
        <v>100</v>
      </c>
      <c r="E527">
        <v>1</v>
      </c>
      <c r="F527">
        <v>136</v>
      </c>
      <c r="G527">
        <v>137</v>
      </c>
      <c r="H527">
        <v>480</v>
      </c>
      <c r="I527" s="2">
        <v>28.541666670000001</v>
      </c>
      <c r="J527" cm="1">
        <f t="array" ref="J527">IF(AND(I527&gt;=0,I527&lt;=20),0,IF(AND(I527&gt;20,I527&lt;=40),1, IF(AND(I527&gt;40,I527&lt;=60),2,IF(AND(I527&gt;60,I527&lt;=80),3, IF(AND(I527&gt;80,I527&lt;=100),4,”5”)))))</f>
        <v>1</v>
      </c>
    </row>
    <row r="528" spans="1:10" x14ac:dyDescent="0.3">
      <c r="A528" t="str">
        <f t="shared" si="11"/>
        <v>59036_101</v>
      </c>
      <c r="B528">
        <f>VLOOKUP(C528,[1]lookuptable!$A$1:$C$7,2,0)</f>
        <v>59036</v>
      </c>
      <c r="C528" t="s">
        <v>12</v>
      </c>
      <c r="D528" s="1">
        <v>101</v>
      </c>
      <c r="E528">
        <v>0</v>
      </c>
      <c r="F528">
        <v>112</v>
      </c>
      <c r="G528">
        <v>112</v>
      </c>
      <c r="H528">
        <v>465</v>
      </c>
      <c r="I528" s="2">
        <v>24.086021509999998</v>
      </c>
      <c r="J528" cm="1">
        <f t="array" ref="J528">IF(AND(I528&gt;=0,I528&lt;=20),0,IF(AND(I528&gt;20,I528&lt;=40),1, IF(AND(I528&gt;40,I528&lt;=60),2,IF(AND(I528&gt;60,I528&lt;=80),3, IF(AND(I528&gt;80,I528&lt;=100),4,”5”)))))</f>
        <v>1</v>
      </c>
    </row>
    <row r="529" spans="1:10" x14ac:dyDescent="0.3">
      <c r="A529" t="str">
        <f t="shared" si="11"/>
        <v>59036_102</v>
      </c>
      <c r="B529">
        <f>VLOOKUP(C529,[1]lookuptable!$A$1:$C$7,2,0)</f>
        <v>59036</v>
      </c>
      <c r="C529" t="s">
        <v>12</v>
      </c>
      <c r="D529" s="1">
        <v>102</v>
      </c>
      <c r="E529">
        <v>0</v>
      </c>
      <c r="F529">
        <v>153</v>
      </c>
      <c r="G529">
        <v>153</v>
      </c>
      <c r="H529">
        <v>562</v>
      </c>
      <c r="I529" s="2">
        <v>27.224199290000001</v>
      </c>
      <c r="J529" cm="1">
        <f t="array" ref="J529">IF(AND(I529&gt;=0,I529&lt;=20),0,IF(AND(I529&gt;20,I529&lt;=40),1, IF(AND(I529&gt;40,I529&lt;=60),2,IF(AND(I529&gt;60,I529&lt;=80),3, IF(AND(I529&gt;80,I529&lt;=100),4,”5”)))))</f>
        <v>1</v>
      </c>
    </row>
    <row r="530" spans="1:10" x14ac:dyDescent="0.3">
      <c r="A530" t="str">
        <f t="shared" si="11"/>
        <v>59036_103</v>
      </c>
      <c r="B530">
        <f>VLOOKUP(C530,[1]lookuptable!$A$1:$C$7,2,0)</f>
        <v>59036</v>
      </c>
      <c r="C530" t="s">
        <v>12</v>
      </c>
      <c r="D530" s="1">
        <v>103</v>
      </c>
      <c r="E530">
        <v>0</v>
      </c>
      <c r="F530">
        <v>124</v>
      </c>
      <c r="G530">
        <v>124</v>
      </c>
      <c r="H530">
        <v>458</v>
      </c>
      <c r="I530" s="2">
        <v>27.074235810000001</v>
      </c>
      <c r="J530" cm="1">
        <f t="array" ref="J530">IF(AND(I530&gt;=0,I530&lt;=20),0,IF(AND(I530&gt;20,I530&lt;=40),1, IF(AND(I530&gt;40,I530&lt;=60),2,IF(AND(I530&gt;60,I530&lt;=80),3, IF(AND(I530&gt;80,I530&lt;=100),4,”5”)))))</f>
        <v>1</v>
      </c>
    </row>
    <row r="531" spans="1:10" x14ac:dyDescent="0.3">
      <c r="A531" t="str">
        <f t="shared" si="11"/>
        <v>59036_104</v>
      </c>
      <c r="B531">
        <f>VLOOKUP(C531,[1]lookuptable!$A$1:$C$7,2,0)</f>
        <v>59036</v>
      </c>
      <c r="C531" t="s">
        <v>12</v>
      </c>
      <c r="D531" s="1">
        <v>104</v>
      </c>
      <c r="E531">
        <v>1</v>
      </c>
      <c r="F531">
        <v>87</v>
      </c>
      <c r="G531">
        <v>88</v>
      </c>
      <c r="H531">
        <v>382</v>
      </c>
      <c r="I531" s="2">
        <v>23.03664921</v>
      </c>
      <c r="J531" cm="1">
        <f t="array" ref="J531">IF(AND(I531&gt;=0,I531&lt;=20),0,IF(AND(I531&gt;20,I531&lt;=40),1, IF(AND(I531&gt;40,I531&lt;=60),2,IF(AND(I531&gt;60,I531&lt;=80),3, IF(AND(I531&gt;80,I531&lt;=100),4,”5”)))))</f>
        <v>1</v>
      </c>
    </row>
    <row r="532" spans="1:10" x14ac:dyDescent="0.3">
      <c r="A532" t="str">
        <f t="shared" si="11"/>
        <v>59036_105</v>
      </c>
      <c r="B532">
        <f>VLOOKUP(C532,[1]lookuptable!$A$1:$C$7,2,0)</f>
        <v>59036</v>
      </c>
      <c r="C532" t="s">
        <v>12</v>
      </c>
      <c r="D532" s="1">
        <v>105</v>
      </c>
      <c r="E532">
        <v>2</v>
      </c>
      <c r="F532">
        <v>103</v>
      </c>
      <c r="G532">
        <v>105</v>
      </c>
      <c r="H532">
        <v>442</v>
      </c>
      <c r="I532" s="2">
        <v>23.75565611</v>
      </c>
      <c r="J532" cm="1">
        <f t="array" ref="J532">IF(AND(I532&gt;=0,I532&lt;=20),0,IF(AND(I532&gt;20,I532&lt;=40),1, IF(AND(I532&gt;40,I532&lt;=60),2,IF(AND(I532&gt;60,I532&lt;=80),3, IF(AND(I532&gt;80,I532&lt;=100),4,”5”)))))</f>
        <v>1</v>
      </c>
    </row>
    <row r="533" spans="1:10" x14ac:dyDescent="0.3">
      <c r="A533" t="str">
        <f t="shared" si="11"/>
        <v>59036_106</v>
      </c>
      <c r="B533">
        <f>VLOOKUP(C533,[1]lookuptable!$A$1:$C$7,2,0)</f>
        <v>59036</v>
      </c>
      <c r="C533" t="s">
        <v>12</v>
      </c>
      <c r="D533" s="1">
        <v>106</v>
      </c>
      <c r="E533">
        <v>0</v>
      </c>
      <c r="F533">
        <v>123</v>
      </c>
      <c r="G533">
        <v>123</v>
      </c>
      <c r="H533">
        <v>431</v>
      </c>
      <c r="I533" s="2">
        <v>28.538283060000001</v>
      </c>
      <c r="J533" cm="1">
        <f t="array" ref="J533">IF(AND(I533&gt;=0,I533&lt;=20),0,IF(AND(I533&gt;20,I533&lt;=40),1, IF(AND(I533&gt;40,I533&lt;=60),2,IF(AND(I533&gt;60,I533&lt;=80),3, IF(AND(I533&gt;80,I533&lt;=100),4,”5”)))))</f>
        <v>1</v>
      </c>
    </row>
    <row r="534" spans="1:10" x14ac:dyDescent="0.3">
      <c r="A534" t="str">
        <f t="shared" si="11"/>
        <v>59036_107</v>
      </c>
      <c r="B534">
        <f>VLOOKUP(C534,[1]lookuptable!$A$1:$C$7,2,0)</f>
        <v>59036</v>
      </c>
      <c r="C534" t="s">
        <v>12</v>
      </c>
      <c r="D534" s="1">
        <v>107</v>
      </c>
      <c r="E534">
        <v>0</v>
      </c>
      <c r="F534">
        <v>96</v>
      </c>
      <c r="G534">
        <v>96</v>
      </c>
      <c r="H534">
        <v>444</v>
      </c>
      <c r="I534" s="2">
        <v>21.621621619999999</v>
      </c>
      <c r="J534" cm="1">
        <f t="array" ref="J534">IF(AND(I534&gt;=0,I534&lt;=20),0,IF(AND(I534&gt;20,I534&lt;=40),1, IF(AND(I534&gt;40,I534&lt;=60),2,IF(AND(I534&gt;60,I534&lt;=80),3, IF(AND(I534&gt;80,I534&lt;=100),4,”5”)))))</f>
        <v>1</v>
      </c>
    </row>
    <row r="535" spans="1:10" x14ac:dyDescent="0.3">
      <c r="A535" t="str">
        <f t="shared" si="11"/>
        <v>59036_108</v>
      </c>
      <c r="B535">
        <f>VLOOKUP(C535,[1]lookuptable!$A$1:$C$7,2,0)</f>
        <v>59036</v>
      </c>
      <c r="C535" t="s">
        <v>12</v>
      </c>
      <c r="D535" s="1">
        <v>108</v>
      </c>
      <c r="E535">
        <v>1</v>
      </c>
      <c r="F535">
        <v>144</v>
      </c>
      <c r="G535">
        <v>145</v>
      </c>
      <c r="H535">
        <v>487</v>
      </c>
      <c r="I535" s="2">
        <v>29.774127310000001</v>
      </c>
      <c r="J535" cm="1">
        <f t="array" ref="J535">IF(AND(I535&gt;=0,I535&lt;=20),0,IF(AND(I535&gt;20,I535&lt;=40),1, IF(AND(I535&gt;40,I535&lt;=60),2,IF(AND(I535&gt;60,I535&lt;=80),3, IF(AND(I535&gt;80,I535&lt;=100),4,”5”)))))</f>
        <v>1</v>
      </c>
    </row>
    <row r="536" spans="1:10" x14ac:dyDescent="0.3">
      <c r="A536" t="str">
        <f t="shared" si="11"/>
        <v>59036_109</v>
      </c>
      <c r="B536">
        <f>VLOOKUP(C536,[1]lookuptable!$A$1:$C$7,2,0)</f>
        <v>59036</v>
      </c>
      <c r="C536" t="s">
        <v>12</v>
      </c>
      <c r="D536" s="1">
        <v>109</v>
      </c>
      <c r="E536">
        <v>0</v>
      </c>
      <c r="F536">
        <v>97</v>
      </c>
      <c r="G536">
        <v>97</v>
      </c>
      <c r="H536">
        <v>461</v>
      </c>
      <c r="I536" s="2">
        <v>21.041214750000002</v>
      </c>
      <c r="J536" cm="1">
        <f t="array" ref="J536">IF(AND(I536&gt;=0,I536&lt;=20),0,IF(AND(I536&gt;20,I536&lt;=40),1, IF(AND(I536&gt;40,I536&lt;=60),2,IF(AND(I536&gt;60,I536&lt;=80),3, IF(AND(I536&gt;80,I536&lt;=100),4,”5”)))))</f>
        <v>1</v>
      </c>
    </row>
    <row r="537" spans="1:10" x14ac:dyDescent="0.3">
      <c r="A537" t="str">
        <f t="shared" si="11"/>
        <v>59036_110</v>
      </c>
      <c r="B537">
        <f>VLOOKUP(C537,[1]lookuptable!$A$1:$C$7,2,0)</f>
        <v>59036</v>
      </c>
      <c r="C537" t="s">
        <v>12</v>
      </c>
      <c r="D537" s="1">
        <v>110</v>
      </c>
      <c r="E537">
        <v>1</v>
      </c>
      <c r="F537">
        <v>103</v>
      </c>
      <c r="G537">
        <v>104</v>
      </c>
      <c r="H537">
        <v>386</v>
      </c>
      <c r="I537" s="2">
        <v>26.94300518</v>
      </c>
      <c r="J537" cm="1">
        <f t="array" ref="J537">IF(AND(I537&gt;=0,I537&lt;=20),0,IF(AND(I537&gt;20,I537&lt;=40),1, IF(AND(I537&gt;40,I537&lt;=60),2,IF(AND(I537&gt;60,I537&lt;=80),3, IF(AND(I537&gt;80,I537&lt;=100),4,”5”)))))</f>
        <v>1</v>
      </c>
    </row>
    <row r="538" spans="1:10" x14ac:dyDescent="0.3">
      <c r="A538" t="str">
        <f t="shared" si="11"/>
        <v>59036_ 111A</v>
      </c>
      <c r="B538">
        <f>VLOOKUP(C538,[1]lookuptable!$A$1:$C$7,2,0)</f>
        <v>59036</v>
      </c>
      <c r="C538" t="s">
        <v>12</v>
      </c>
      <c r="D538" s="1" t="s">
        <v>13</v>
      </c>
      <c r="E538">
        <v>0</v>
      </c>
      <c r="F538">
        <v>112</v>
      </c>
      <c r="G538">
        <v>112</v>
      </c>
      <c r="H538">
        <v>425</v>
      </c>
      <c r="I538" s="2">
        <v>26.352941179999998</v>
      </c>
      <c r="J538" cm="1">
        <f t="array" ref="J538">IF(AND(I538&gt;=0,I538&lt;=20),0,IF(AND(I538&gt;20,I538&lt;=40),1, IF(AND(I538&gt;40,I538&lt;=60),2,IF(AND(I538&gt;60,I538&lt;=80),3, IF(AND(I538&gt;80,I538&lt;=100),4,”5”)))))</f>
        <v>1</v>
      </c>
    </row>
    <row r="539" spans="1:10" x14ac:dyDescent="0.3">
      <c r="A539" t="str">
        <f t="shared" si="11"/>
        <v>59036_ 111B</v>
      </c>
      <c r="B539">
        <f>VLOOKUP(C539,[1]lookuptable!$A$1:$C$7,2,0)</f>
        <v>59036</v>
      </c>
      <c r="C539" t="s">
        <v>12</v>
      </c>
      <c r="D539" s="1" t="s">
        <v>14</v>
      </c>
      <c r="E539">
        <v>1</v>
      </c>
      <c r="F539">
        <v>158</v>
      </c>
      <c r="G539">
        <v>159</v>
      </c>
      <c r="H539">
        <v>554</v>
      </c>
      <c r="I539" s="2">
        <v>28.700361010000002</v>
      </c>
      <c r="J539" cm="1">
        <f t="array" ref="J539">IF(AND(I539&gt;=0,I539&lt;=20),0,IF(AND(I539&gt;20,I539&lt;=40),1, IF(AND(I539&gt;40,I539&lt;=60),2,IF(AND(I539&gt;60,I539&lt;=80),3, IF(AND(I539&gt;80,I539&lt;=100),4,”5”)))))</f>
        <v>1</v>
      </c>
    </row>
    <row r="540" spans="1:10" x14ac:dyDescent="0.3">
      <c r="A540" t="str">
        <f t="shared" si="11"/>
        <v>59036_112</v>
      </c>
      <c r="B540">
        <f>VLOOKUP(C540,[1]lookuptable!$A$1:$C$7,2,0)</f>
        <v>59036</v>
      </c>
      <c r="C540" t="s">
        <v>12</v>
      </c>
      <c r="D540" s="1">
        <v>112</v>
      </c>
      <c r="E540">
        <v>0</v>
      </c>
      <c r="F540">
        <v>104</v>
      </c>
      <c r="G540">
        <v>104</v>
      </c>
      <c r="H540">
        <v>401</v>
      </c>
      <c r="I540" s="2">
        <v>25.935162089999999</v>
      </c>
      <c r="J540" cm="1">
        <f t="array" ref="J540">IF(AND(I540&gt;=0,I540&lt;=20),0,IF(AND(I540&gt;20,I540&lt;=40),1, IF(AND(I540&gt;40,I540&lt;=60),2,IF(AND(I540&gt;60,I540&lt;=80),3, IF(AND(I540&gt;80,I540&lt;=100),4,”5”)))))</f>
        <v>1</v>
      </c>
    </row>
    <row r="541" spans="1:10" x14ac:dyDescent="0.3">
      <c r="A541" t="str">
        <f t="shared" si="11"/>
        <v>59036_114</v>
      </c>
      <c r="B541">
        <f>VLOOKUP(C541,[1]lookuptable!$A$1:$C$7,2,0)</f>
        <v>59036</v>
      </c>
      <c r="C541" t="s">
        <v>12</v>
      </c>
      <c r="D541" s="1">
        <v>114</v>
      </c>
      <c r="E541">
        <v>0</v>
      </c>
      <c r="F541">
        <v>122</v>
      </c>
      <c r="G541">
        <v>122</v>
      </c>
      <c r="H541">
        <v>461</v>
      </c>
      <c r="I541" s="2">
        <v>26.464208240000001</v>
      </c>
      <c r="J541" cm="1">
        <f t="array" ref="J541">IF(AND(I541&gt;=0,I541&lt;=20),0,IF(AND(I541&gt;20,I541&lt;=40),1, IF(AND(I541&gt;40,I541&lt;=60),2,IF(AND(I541&gt;60,I541&lt;=80),3, IF(AND(I541&gt;80,I541&lt;=100),4,”5”)))))</f>
        <v>1</v>
      </c>
    </row>
    <row r="542" spans="1:10" x14ac:dyDescent="0.3">
      <c r="A542" t="str">
        <f t="shared" si="11"/>
        <v>59036_115</v>
      </c>
      <c r="B542">
        <f>VLOOKUP(C542,[1]lookuptable!$A$1:$C$7,2,0)</f>
        <v>59036</v>
      </c>
      <c r="C542" t="s">
        <v>12</v>
      </c>
      <c r="D542" s="1">
        <v>115</v>
      </c>
      <c r="E542">
        <v>1</v>
      </c>
      <c r="F542">
        <v>146</v>
      </c>
      <c r="G542">
        <v>147</v>
      </c>
      <c r="H542">
        <v>557</v>
      </c>
      <c r="I542" s="2">
        <v>26.391382409999999</v>
      </c>
      <c r="J542" cm="1">
        <f t="array" ref="J542">IF(AND(I542&gt;=0,I542&lt;=20),0,IF(AND(I542&gt;20,I542&lt;=40),1, IF(AND(I542&gt;40,I542&lt;=60),2,IF(AND(I542&gt;60,I542&lt;=80),3, IF(AND(I542&gt;80,I542&lt;=100),4,”5”)))))</f>
        <v>1</v>
      </c>
    </row>
    <row r="543" spans="1:10" x14ac:dyDescent="0.3">
      <c r="A543" t="str">
        <f t="shared" si="11"/>
        <v>59036_116</v>
      </c>
      <c r="B543">
        <f>VLOOKUP(C543,[1]lookuptable!$A$1:$C$7,2,0)</f>
        <v>59036</v>
      </c>
      <c r="C543" t="s">
        <v>12</v>
      </c>
      <c r="D543" s="1">
        <v>116</v>
      </c>
      <c r="E543">
        <v>0</v>
      </c>
      <c r="F543">
        <v>103</v>
      </c>
      <c r="G543">
        <v>103</v>
      </c>
      <c r="H543">
        <v>463</v>
      </c>
      <c r="I543" s="2">
        <v>22.246220300000001</v>
      </c>
      <c r="J543" cm="1">
        <f t="array" ref="J543">IF(AND(I543&gt;=0,I543&lt;=20),0,IF(AND(I543&gt;20,I543&lt;=40),1, IF(AND(I543&gt;40,I543&lt;=60),2,IF(AND(I543&gt;60,I543&lt;=80),3, IF(AND(I543&gt;80,I543&lt;=100),4,”5”)))))</f>
        <v>1</v>
      </c>
    </row>
    <row r="544" spans="1:10" x14ac:dyDescent="0.3">
      <c r="A544" t="str">
        <f t="shared" si="11"/>
        <v>59036_117</v>
      </c>
      <c r="B544">
        <f>VLOOKUP(C544,[1]lookuptable!$A$1:$C$7,2,0)</f>
        <v>59036</v>
      </c>
      <c r="C544" t="s">
        <v>12</v>
      </c>
      <c r="D544" s="1">
        <v>117</v>
      </c>
      <c r="E544">
        <v>0</v>
      </c>
      <c r="F544">
        <v>138</v>
      </c>
      <c r="G544">
        <v>138</v>
      </c>
      <c r="H544">
        <v>512</v>
      </c>
      <c r="I544" s="2">
        <v>26.953125</v>
      </c>
      <c r="J544" cm="1">
        <f t="array" ref="J544">IF(AND(I544&gt;=0,I544&lt;=20),0,IF(AND(I544&gt;20,I544&lt;=40),1, IF(AND(I544&gt;40,I544&lt;=60),2,IF(AND(I544&gt;60,I544&lt;=80),3, IF(AND(I544&gt;80,I544&lt;=100),4,”5”)))))</f>
        <v>1</v>
      </c>
    </row>
    <row r="545" spans="1:10" x14ac:dyDescent="0.3">
      <c r="A545" t="str">
        <f t="shared" si="11"/>
        <v>59036_118</v>
      </c>
      <c r="B545">
        <f>VLOOKUP(C545,[1]lookuptable!$A$1:$C$7,2,0)</f>
        <v>59036</v>
      </c>
      <c r="C545" t="s">
        <v>12</v>
      </c>
      <c r="D545" s="1">
        <v>118</v>
      </c>
      <c r="E545">
        <v>0</v>
      </c>
      <c r="F545">
        <v>83</v>
      </c>
      <c r="G545">
        <v>83</v>
      </c>
      <c r="H545">
        <v>261</v>
      </c>
      <c r="I545" s="2">
        <v>31.800766280000001</v>
      </c>
      <c r="J545" cm="1">
        <f t="array" ref="J545">IF(AND(I545&gt;=0,I545&lt;=20),0,IF(AND(I545&gt;20,I545&lt;=40),1, IF(AND(I545&gt;40,I545&lt;=60),2,IF(AND(I545&gt;60,I545&lt;=80),3, IF(AND(I545&gt;80,I545&lt;=100),4,”5”)))))</f>
        <v>1</v>
      </c>
    </row>
    <row r="546" spans="1:10" x14ac:dyDescent="0.3">
      <c r="A546" t="str">
        <f t="shared" si="11"/>
        <v>59036_119</v>
      </c>
      <c r="B546">
        <f>VLOOKUP(C546,[1]lookuptable!$A$1:$C$7,2,0)</f>
        <v>59036</v>
      </c>
      <c r="C546" t="s">
        <v>12</v>
      </c>
      <c r="D546" s="1">
        <v>119</v>
      </c>
      <c r="E546">
        <v>0</v>
      </c>
      <c r="F546">
        <v>158</v>
      </c>
      <c r="G546">
        <v>158</v>
      </c>
      <c r="H546">
        <v>468</v>
      </c>
      <c r="I546" s="2">
        <v>33.760683759999999</v>
      </c>
      <c r="J546" cm="1">
        <f t="array" ref="J546">IF(AND(I546&gt;=0,I546&lt;=20),0,IF(AND(I546&gt;20,I546&lt;=40),1, IF(AND(I546&gt;40,I546&lt;=60),2,IF(AND(I546&gt;60,I546&lt;=80),3, IF(AND(I546&gt;80,I546&lt;=100),4,”5”)))))</f>
        <v>1</v>
      </c>
    </row>
    <row r="547" spans="1:10" x14ac:dyDescent="0.3">
      <c r="A547" t="str">
        <f t="shared" si="11"/>
        <v>59036_120</v>
      </c>
      <c r="B547">
        <f>VLOOKUP(C547,[1]lookuptable!$A$1:$C$7,2,0)</f>
        <v>59036</v>
      </c>
      <c r="C547" t="s">
        <v>12</v>
      </c>
      <c r="D547" s="1">
        <v>120</v>
      </c>
      <c r="E547">
        <v>2</v>
      </c>
      <c r="F547">
        <v>238</v>
      </c>
      <c r="G547">
        <v>240</v>
      </c>
      <c r="H547">
        <v>539</v>
      </c>
      <c r="I547" s="2">
        <v>44.526901670000001</v>
      </c>
      <c r="J547" cm="1">
        <f t="array" ref="J547">IF(AND(I547&gt;=0,I547&lt;=20),0,IF(AND(I547&gt;20,I547&lt;=40),1, IF(AND(I547&gt;40,I547&lt;=60),2,IF(AND(I547&gt;60,I547&lt;=80),3, IF(AND(I547&gt;80,I547&lt;=100),4,”5”)))))</f>
        <v>2</v>
      </c>
    </row>
    <row r="548" spans="1:10" x14ac:dyDescent="0.3">
      <c r="A548" t="str">
        <f t="shared" si="11"/>
        <v>59036_121</v>
      </c>
      <c r="B548">
        <f>VLOOKUP(C548,[1]lookuptable!$A$1:$C$7,2,0)</f>
        <v>59036</v>
      </c>
      <c r="C548" t="s">
        <v>12</v>
      </c>
      <c r="D548" s="1">
        <v>121</v>
      </c>
      <c r="E548">
        <v>1</v>
      </c>
      <c r="F548">
        <v>97</v>
      </c>
      <c r="G548">
        <v>98</v>
      </c>
      <c r="H548">
        <v>366</v>
      </c>
      <c r="I548" s="2">
        <v>26.775956279999999</v>
      </c>
      <c r="J548" cm="1">
        <f t="array" ref="J548">IF(AND(I548&gt;=0,I548&lt;=20),0,IF(AND(I548&gt;20,I548&lt;=40),1, IF(AND(I548&gt;40,I548&lt;=60),2,IF(AND(I548&gt;60,I548&lt;=80),3, IF(AND(I548&gt;80,I548&lt;=100),4,”5”)))))</f>
        <v>1</v>
      </c>
    </row>
    <row r="549" spans="1:10" x14ac:dyDescent="0.3">
      <c r="A549" t="str">
        <f t="shared" si="11"/>
        <v>59036_122</v>
      </c>
      <c r="B549">
        <f>VLOOKUP(C549,[1]lookuptable!$A$1:$C$7,2,0)</f>
        <v>59036</v>
      </c>
      <c r="C549" t="s">
        <v>12</v>
      </c>
      <c r="D549" s="1">
        <v>122</v>
      </c>
      <c r="E549">
        <v>1</v>
      </c>
      <c r="F549">
        <v>162</v>
      </c>
      <c r="G549">
        <v>163</v>
      </c>
      <c r="H549">
        <v>383</v>
      </c>
      <c r="I549" s="2">
        <v>42.558746739999997</v>
      </c>
      <c r="J549" cm="1">
        <f t="array" ref="J549">IF(AND(I549&gt;=0,I549&lt;=20),0,IF(AND(I549&gt;20,I549&lt;=40),1, IF(AND(I549&gt;40,I549&lt;=60),2,IF(AND(I549&gt;60,I549&lt;=80),3, IF(AND(I549&gt;80,I549&lt;=100),4,”5”)))))</f>
        <v>2</v>
      </c>
    </row>
    <row r="550" spans="1:10" x14ac:dyDescent="0.3">
      <c r="A550" t="str">
        <f t="shared" si="11"/>
        <v>59036_123</v>
      </c>
      <c r="B550">
        <f>VLOOKUP(C550,[1]lookuptable!$A$1:$C$7,2,0)</f>
        <v>59036</v>
      </c>
      <c r="C550" t="s">
        <v>12</v>
      </c>
      <c r="D550" s="1">
        <v>123</v>
      </c>
      <c r="E550">
        <v>1</v>
      </c>
      <c r="F550">
        <v>183</v>
      </c>
      <c r="G550">
        <v>184</v>
      </c>
      <c r="H550">
        <v>485</v>
      </c>
      <c r="I550" s="2">
        <v>37.93814433</v>
      </c>
      <c r="J550" cm="1">
        <f t="array" ref="J550">IF(AND(I550&gt;=0,I550&lt;=20),0,IF(AND(I550&gt;20,I550&lt;=40),1, IF(AND(I550&gt;40,I550&lt;=60),2,IF(AND(I550&gt;60,I550&lt;=80),3, IF(AND(I550&gt;80,I550&lt;=100),4,”5”)))))</f>
        <v>1</v>
      </c>
    </row>
    <row r="551" spans="1:10" x14ac:dyDescent="0.3">
      <c r="A551" t="str">
        <f t="shared" si="11"/>
        <v>59036_124</v>
      </c>
      <c r="B551">
        <f>VLOOKUP(C551,[1]lookuptable!$A$1:$C$7,2,0)</f>
        <v>59036</v>
      </c>
      <c r="C551" t="s">
        <v>12</v>
      </c>
      <c r="D551" s="1">
        <v>124</v>
      </c>
      <c r="E551">
        <v>0</v>
      </c>
      <c r="F551">
        <v>249</v>
      </c>
      <c r="G551">
        <v>249</v>
      </c>
      <c r="H551">
        <v>553</v>
      </c>
      <c r="I551" s="2">
        <v>45.02712477</v>
      </c>
      <c r="J551" cm="1">
        <f t="array" ref="J551">IF(AND(I551&gt;=0,I551&lt;=20),0,IF(AND(I551&gt;20,I551&lt;=40),1, IF(AND(I551&gt;40,I551&lt;=60),2,IF(AND(I551&gt;60,I551&lt;=80),3, IF(AND(I551&gt;80,I551&lt;=100),4,”5”)))))</f>
        <v>2</v>
      </c>
    </row>
    <row r="552" spans="1:10" x14ac:dyDescent="0.3">
      <c r="A552" t="str">
        <f t="shared" si="11"/>
        <v>59036_125</v>
      </c>
      <c r="B552">
        <f>VLOOKUP(C552,[1]lookuptable!$A$1:$C$7,2,0)</f>
        <v>59036</v>
      </c>
      <c r="C552" t="s">
        <v>12</v>
      </c>
      <c r="D552" s="1">
        <v>125</v>
      </c>
      <c r="E552">
        <v>1</v>
      </c>
      <c r="F552">
        <v>218</v>
      </c>
      <c r="G552">
        <v>219</v>
      </c>
      <c r="H552">
        <v>439</v>
      </c>
      <c r="I552" s="2">
        <v>49.886104779999997</v>
      </c>
      <c r="J552" cm="1">
        <f t="array" ref="J552">IF(AND(I552&gt;=0,I552&lt;=20),0,IF(AND(I552&gt;20,I552&lt;=40),1, IF(AND(I552&gt;40,I552&lt;=60),2,IF(AND(I552&gt;60,I552&lt;=80),3, IF(AND(I552&gt;80,I552&lt;=100),4,”5”)))))</f>
        <v>2</v>
      </c>
    </row>
    <row r="553" spans="1:10" x14ac:dyDescent="0.3">
      <c r="A553" t="str">
        <f t="shared" si="11"/>
        <v>59036_126</v>
      </c>
      <c r="B553">
        <f>VLOOKUP(C553,[1]lookuptable!$A$1:$C$7,2,0)</f>
        <v>59036</v>
      </c>
      <c r="C553" t="s">
        <v>12</v>
      </c>
      <c r="D553" s="1">
        <v>126</v>
      </c>
      <c r="E553">
        <v>0</v>
      </c>
      <c r="F553">
        <v>206</v>
      </c>
      <c r="G553">
        <v>206</v>
      </c>
      <c r="H553">
        <v>603</v>
      </c>
      <c r="I553" s="2">
        <v>34.162520729999997</v>
      </c>
      <c r="J553" cm="1">
        <f t="array" ref="J553">IF(AND(I553&gt;=0,I553&lt;=20),0,IF(AND(I553&gt;20,I553&lt;=40),1, IF(AND(I553&gt;40,I553&lt;=60),2,IF(AND(I553&gt;60,I553&lt;=80),3, IF(AND(I553&gt;80,I553&lt;=100),4,”5”)))))</f>
        <v>1</v>
      </c>
    </row>
    <row r="554" spans="1:10" x14ac:dyDescent="0.3">
      <c r="A554" t="str">
        <f t="shared" si="11"/>
        <v>59036_127</v>
      </c>
      <c r="B554">
        <f>VLOOKUP(C554,[1]lookuptable!$A$1:$C$7,2,0)</f>
        <v>59036</v>
      </c>
      <c r="C554" t="s">
        <v>12</v>
      </c>
      <c r="D554" s="1">
        <v>127</v>
      </c>
      <c r="E554">
        <v>0</v>
      </c>
      <c r="F554">
        <v>162</v>
      </c>
      <c r="G554">
        <v>162</v>
      </c>
      <c r="H554">
        <v>523</v>
      </c>
      <c r="I554" s="2">
        <v>30.9751434</v>
      </c>
      <c r="J554" cm="1">
        <f t="array" ref="J554">IF(AND(I554&gt;=0,I554&lt;=20),0,IF(AND(I554&gt;20,I554&lt;=40),1, IF(AND(I554&gt;40,I554&lt;=60),2,IF(AND(I554&gt;60,I554&lt;=80),3, IF(AND(I554&gt;80,I554&lt;=100),4,”5”)))))</f>
        <v>1</v>
      </c>
    </row>
    <row r="555" spans="1:10" x14ac:dyDescent="0.3">
      <c r="A555" t="str">
        <f t="shared" si="11"/>
        <v>59036_128</v>
      </c>
      <c r="B555">
        <f>VLOOKUP(C555,[1]lookuptable!$A$1:$C$7,2,0)</f>
        <v>59036</v>
      </c>
      <c r="C555" t="s">
        <v>12</v>
      </c>
      <c r="D555" s="1">
        <v>128</v>
      </c>
      <c r="E555">
        <v>0</v>
      </c>
      <c r="F555">
        <v>108</v>
      </c>
      <c r="G555">
        <v>108</v>
      </c>
      <c r="H555">
        <v>490</v>
      </c>
      <c r="I555" s="2">
        <v>22.040816329999998</v>
      </c>
      <c r="J555" cm="1">
        <f t="array" ref="J555">IF(AND(I555&gt;=0,I555&lt;=20),0,IF(AND(I555&gt;20,I555&lt;=40),1, IF(AND(I555&gt;40,I555&lt;=60),2,IF(AND(I555&gt;60,I555&lt;=80),3, IF(AND(I555&gt;80,I555&lt;=100),4,”5”)))))</f>
        <v>1</v>
      </c>
    </row>
    <row r="556" spans="1:10" x14ac:dyDescent="0.3">
      <c r="A556" t="str">
        <f t="shared" si="11"/>
        <v>59036_129</v>
      </c>
      <c r="B556">
        <f>VLOOKUP(C556,[1]lookuptable!$A$1:$C$7,2,0)</f>
        <v>59036</v>
      </c>
      <c r="C556" t="s">
        <v>12</v>
      </c>
      <c r="D556" s="1">
        <v>129</v>
      </c>
      <c r="E556">
        <v>0</v>
      </c>
      <c r="F556">
        <v>83</v>
      </c>
      <c r="G556">
        <v>83</v>
      </c>
      <c r="H556">
        <v>456</v>
      </c>
      <c r="I556" s="2">
        <v>18.201754390000001</v>
      </c>
      <c r="J556" cm="1">
        <f t="array" ref="J556">IF(AND(I556&gt;=0,I556&lt;=20),0,IF(AND(I556&gt;20,I556&lt;=40),1, IF(AND(I556&gt;40,I556&lt;=60),2,IF(AND(I556&gt;60,I556&lt;=80),3, IF(AND(I556&gt;80,I556&lt;=100),4,”5”)))))</f>
        <v>0</v>
      </c>
    </row>
    <row r="557" spans="1:10" x14ac:dyDescent="0.3">
      <c r="A557" t="str">
        <f t="shared" si="11"/>
        <v>59036_130</v>
      </c>
      <c r="B557">
        <f>VLOOKUP(C557,[1]lookuptable!$A$1:$C$7,2,0)</f>
        <v>59036</v>
      </c>
      <c r="C557" t="s">
        <v>12</v>
      </c>
      <c r="D557" s="1">
        <v>130</v>
      </c>
      <c r="E557">
        <v>0</v>
      </c>
      <c r="F557">
        <v>120</v>
      </c>
      <c r="G557">
        <v>120</v>
      </c>
      <c r="H557">
        <v>462</v>
      </c>
      <c r="I557" s="2">
        <v>25.97402597</v>
      </c>
      <c r="J557" cm="1">
        <f t="array" ref="J557">IF(AND(I557&gt;=0,I557&lt;=20),0,IF(AND(I557&gt;20,I557&lt;=40),1, IF(AND(I557&gt;40,I557&lt;=60),2,IF(AND(I557&gt;60,I557&lt;=80),3, IF(AND(I557&gt;80,I557&lt;=100),4,”5”)))))</f>
        <v>1</v>
      </c>
    </row>
    <row r="558" spans="1:10" x14ac:dyDescent="0.3">
      <c r="A558" t="str">
        <f t="shared" si="11"/>
        <v>59036_131</v>
      </c>
      <c r="B558">
        <f>VLOOKUP(C558,[1]lookuptable!$A$1:$C$7,2,0)</f>
        <v>59036</v>
      </c>
      <c r="C558" t="s">
        <v>12</v>
      </c>
      <c r="D558" s="1">
        <v>131</v>
      </c>
      <c r="E558">
        <v>0</v>
      </c>
      <c r="F558">
        <v>121</v>
      </c>
      <c r="G558">
        <v>121</v>
      </c>
      <c r="H558">
        <v>483</v>
      </c>
      <c r="I558" s="2">
        <v>25.051759830000002</v>
      </c>
      <c r="J558" cm="1">
        <f t="array" ref="J558">IF(AND(I558&gt;=0,I558&lt;=20),0,IF(AND(I558&gt;20,I558&lt;=40),1, IF(AND(I558&gt;40,I558&lt;=60),2,IF(AND(I558&gt;60,I558&lt;=80),3, IF(AND(I558&gt;80,I558&lt;=100),4,”5”)))))</f>
        <v>1</v>
      </c>
    </row>
    <row r="559" spans="1:10" x14ac:dyDescent="0.3">
      <c r="A559" t="str">
        <f t="shared" si="11"/>
        <v>59036_132</v>
      </c>
      <c r="B559">
        <f>VLOOKUP(C559,[1]lookuptable!$A$1:$C$7,2,0)</f>
        <v>59036</v>
      </c>
      <c r="C559" t="s">
        <v>12</v>
      </c>
      <c r="D559" s="1">
        <v>132</v>
      </c>
      <c r="E559">
        <v>0</v>
      </c>
      <c r="F559">
        <v>106</v>
      </c>
      <c r="G559">
        <v>106</v>
      </c>
      <c r="H559">
        <v>405</v>
      </c>
      <c r="I559" s="2">
        <v>26.172839509999999</v>
      </c>
      <c r="J559" cm="1">
        <f t="array" ref="J559">IF(AND(I559&gt;=0,I559&lt;=20),0,IF(AND(I559&gt;20,I559&lt;=40),1, IF(AND(I559&gt;40,I559&lt;=60),2,IF(AND(I559&gt;60,I559&lt;=80),3, IF(AND(I559&gt;80,I559&lt;=100),4,”5”)))))</f>
        <v>1</v>
      </c>
    </row>
    <row r="560" spans="1:10" x14ac:dyDescent="0.3">
      <c r="A560" t="str">
        <f t="shared" si="11"/>
        <v>59036_133</v>
      </c>
      <c r="B560">
        <f>VLOOKUP(C560,[1]lookuptable!$A$1:$C$7,2,0)</f>
        <v>59036</v>
      </c>
      <c r="C560" t="s">
        <v>12</v>
      </c>
      <c r="D560" s="1">
        <v>133</v>
      </c>
      <c r="E560">
        <v>2</v>
      </c>
      <c r="F560">
        <v>96</v>
      </c>
      <c r="G560">
        <v>98</v>
      </c>
      <c r="H560">
        <v>329</v>
      </c>
      <c r="I560" s="2">
        <v>29.787234040000001</v>
      </c>
      <c r="J560" cm="1">
        <f t="array" ref="J560">IF(AND(I560&gt;=0,I560&lt;=20),0,IF(AND(I560&gt;20,I560&lt;=40),1, IF(AND(I560&gt;40,I560&lt;=60),2,IF(AND(I560&gt;60,I560&lt;=80),3, IF(AND(I560&gt;80,I560&lt;=100),4,”5”)))))</f>
        <v>1</v>
      </c>
    </row>
    <row r="561" spans="1:10" x14ac:dyDescent="0.3">
      <c r="A561" t="str">
        <f t="shared" si="11"/>
        <v>59036_134</v>
      </c>
      <c r="B561">
        <f>VLOOKUP(C561,[1]lookuptable!$A$1:$C$7,2,0)</f>
        <v>59036</v>
      </c>
      <c r="C561" t="s">
        <v>12</v>
      </c>
      <c r="D561" s="1">
        <v>134</v>
      </c>
      <c r="E561">
        <v>2</v>
      </c>
      <c r="F561">
        <v>109</v>
      </c>
      <c r="G561">
        <v>111</v>
      </c>
      <c r="H561">
        <v>463</v>
      </c>
      <c r="I561" s="2">
        <v>23.974082070000001</v>
      </c>
      <c r="J561" cm="1">
        <f t="array" ref="J561">IF(AND(I561&gt;=0,I561&lt;=20),0,IF(AND(I561&gt;20,I561&lt;=40),1, IF(AND(I561&gt;40,I561&lt;=60),2,IF(AND(I561&gt;60,I561&lt;=80),3, IF(AND(I561&gt;80,I561&lt;=100),4,”5”)))))</f>
        <v>1</v>
      </c>
    </row>
    <row r="562" spans="1:10" x14ac:dyDescent="0.3">
      <c r="A562" t="str">
        <f t="shared" si="11"/>
        <v>59036_135</v>
      </c>
      <c r="B562">
        <f>VLOOKUP(C562,[1]lookuptable!$A$1:$C$7,2,0)</f>
        <v>59036</v>
      </c>
      <c r="C562" t="s">
        <v>12</v>
      </c>
      <c r="D562" s="1">
        <v>135</v>
      </c>
      <c r="E562">
        <v>0</v>
      </c>
      <c r="F562">
        <v>119</v>
      </c>
      <c r="G562">
        <v>119</v>
      </c>
      <c r="H562">
        <v>441</v>
      </c>
      <c r="I562" s="2">
        <v>26.984126979999999</v>
      </c>
      <c r="J562" cm="1">
        <f t="array" ref="J562">IF(AND(I562&gt;=0,I562&lt;=20),0,IF(AND(I562&gt;20,I562&lt;=40),1, IF(AND(I562&gt;40,I562&lt;=60),2,IF(AND(I562&gt;60,I562&lt;=80),3, IF(AND(I562&gt;80,I562&lt;=100),4,”5”)))))</f>
        <v>1</v>
      </c>
    </row>
    <row r="563" spans="1:10" x14ac:dyDescent="0.3">
      <c r="A563" t="str">
        <f t="shared" si="11"/>
        <v>59036_136</v>
      </c>
      <c r="B563">
        <f>VLOOKUP(C563,[1]lookuptable!$A$1:$C$7,2,0)</f>
        <v>59036</v>
      </c>
      <c r="C563" t="s">
        <v>12</v>
      </c>
      <c r="D563" s="1">
        <v>136</v>
      </c>
      <c r="E563">
        <v>0</v>
      </c>
      <c r="F563">
        <v>96</v>
      </c>
      <c r="G563">
        <v>96</v>
      </c>
      <c r="H563">
        <v>464</v>
      </c>
      <c r="I563" s="2">
        <v>20.689655170000002</v>
      </c>
      <c r="J563" cm="1">
        <f t="array" ref="J563">IF(AND(I563&gt;=0,I563&lt;=20),0,IF(AND(I563&gt;20,I563&lt;=40),1, IF(AND(I563&gt;40,I563&lt;=60),2,IF(AND(I563&gt;60,I563&lt;=80),3, IF(AND(I563&gt;80,I563&lt;=100),4,”5”)))))</f>
        <v>1</v>
      </c>
    </row>
    <row r="564" spans="1:10" x14ac:dyDescent="0.3">
      <c r="A564" t="str">
        <f t="shared" si="11"/>
        <v>59036_137</v>
      </c>
      <c r="B564">
        <f>VLOOKUP(C564,[1]lookuptable!$A$1:$C$7,2,0)</f>
        <v>59036</v>
      </c>
      <c r="C564" t="s">
        <v>12</v>
      </c>
      <c r="D564" s="1">
        <v>137</v>
      </c>
      <c r="E564">
        <v>0</v>
      </c>
      <c r="F564">
        <v>78</v>
      </c>
      <c r="G564">
        <v>78</v>
      </c>
      <c r="H564">
        <v>388</v>
      </c>
      <c r="I564" s="2">
        <v>20.103092780000001</v>
      </c>
      <c r="J564" cm="1">
        <f t="array" ref="J564">IF(AND(I564&gt;=0,I564&lt;=20),0,IF(AND(I564&gt;20,I564&lt;=40),1, IF(AND(I564&gt;40,I564&lt;=60),2,IF(AND(I564&gt;60,I564&lt;=80),3, IF(AND(I564&gt;80,I564&lt;=100),4,”5”)))))</f>
        <v>1</v>
      </c>
    </row>
    <row r="565" spans="1:10" x14ac:dyDescent="0.3">
      <c r="A565" t="str">
        <f t="shared" si="11"/>
        <v>59036_138</v>
      </c>
      <c r="B565">
        <f>VLOOKUP(C565,[1]lookuptable!$A$1:$C$7,2,0)</f>
        <v>59036</v>
      </c>
      <c r="C565" t="s">
        <v>12</v>
      </c>
      <c r="D565" s="1">
        <v>138</v>
      </c>
      <c r="E565">
        <v>1</v>
      </c>
      <c r="F565">
        <v>116</v>
      </c>
      <c r="G565">
        <v>117</v>
      </c>
      <c r="H565">
        <v>521</v>
      </c>
      <c r="I565" s="2">
        <v>22.456813820000001</v>
      </c>
      <c r="J565" cm="1">
        <f t="array" ref="J565">IF(AND(I565&gt;=0,I565&lt;=20),0,IF(AND(I565&gt;20,I565&lt;=40),1, IF(AND(I565&gt;40,I565&lt;=60),2,IF(AND(I565&gt;60,I565&lt;=80),3, IF(AND(I565&gt;80,I565&lt;=100),4,”5”)))))</f>
        <v>1</v>
      </c>
    </row>
    <row r="566" spans="1:10" x14ac:dyDescent="0.3">
      <c r="A566" t="str">
        <f t="shared" si="11"/>
        <v>59036_139</v>
      </c>
      <c r="B566">
        <f>VLOOKUP(C566,[1]lookuptable!$A$1:$C$7,2,0)</f>
        <v>59036</v>
      </c>
      <c r="C566" t="s">
        <v>12</v>
      </c>
      <c r="D566" s="1">
        <v>139</v>
      </c>
      <c r="E566">
        <v>0</v>
      </c>
      <c r="F566">
        <v>112</v>
      </c>
      <c r="G566">
        <v>112</v>
      </c>
      <c r="H566">
        <v>506</v>
      </c>
      <c r="I566" s="2">
        <v>22.134387350000001</v>
      </c>
      <c r="J566" cm="1">
        <f t="array" ref="J566">IF(AND(I566&gt;=0,I566&lt;=20),0,IF(AND(I566&gt;20,I566&lt;=40),1, IF(AND(I566&gt;40,I566&lt;=60),2,IF(AND(I566&gt;60,I566&lt;=80),3, IF(AND(I566&gt;80,I566&lt;=100),4,”5”)))))</f>
        <v>1</v>
      </c>
    </row>
    <row r="567" spans="1:10" x14ac:dyDescent="0.3">
      <c r="A567" t="str">
        <f t="shared" si="11"/>
        <v>59036_140</v>
      </c>
      <c r="B567">
        <f>VLOOKUP(C567,[1]lookuptable!$A$1:$C$7,2,0)</f>
        <v>59036</v>
      </c>
      <c r="C567" t="s">
        <v>12</v>
      </c>
      <c r="D567" s="1">
        <v>140</v>
      </c>
      <c r="E567">
        <v>1</v>
      </c>
      <c r="F567">
        <v>144</v>
      </c>
      <c r="G567">
        <v>145</v>
      </c>
      <c r="H567">
        <v>515</v>
      </c>
      <c r="I567" s="2">
        <v>28.155339810000001</v>
      </c>
      <c r="J567" cm="1">
        <f t="array" ref="J567">IF(AND(I567&gt;=0,I567&lt;=20),0,IF(AND(I567&gt;20,I567&lt;=40),1, IF(AND(I567&gt;40,I567&lt;=60),2,IF(AND(I567&gt;60,I567&lt;=80),3, IF(AND(I567&gt;80,I567&lt;=100),4,”5”)))))</f>
        <v>1</v>
      </c>
    </row>
    <row r="568" spans="1:10" x14ac:dyDescent="0.3">
      <c r="A568" t="str">
        <f t="shared" si="11"/>
        <v>59036_141</v>
      </c>
      <c r="B568">
        <f>VLOOKUP(C568,[1]lookuptable!$A$1:$C$7,2,0)</f>
        <v>59036</v>
      </c>
      <c r="C568" t="s">
        <v>12</v>
      </c>
      <c r="D568" s="1">
        <v>141</v>
      </c>
      <c r="E568">
        <v>2</v>
      </c>
      <c r="F568">
        <v>115</v>
      </c>
      <c r="G568">
        <v>117</v>
      </c>
      <c r="H568">
        <v>398</v>
      </c>
      <c r="I568" s="2">
        <v>29.396984920000001</v>
      </c>
      <c r="J568" cm="1">
        <f t="array" ref="J568">IF(AND(I568&gt;=0,I568&lt;=20),0,IF(AND(I568&gt;20,I568&lt;=40),1, IF(AND(I568&gt;40,I568&lt;=60),2,IF(AND(I568&gt;60,I568&lt;=80),3, IF(AND(I568&gt;80,I568&lt;=100),4,”5”)))))</f>
        <v>1</v>
      </c>
    </row>
    <row r="569" spans="1:10" x14ac:dyDescent="0.3">
      <c r="A569" t="str">
        <f t="shared" si="11"/>
        <v>59036_142</v>
      </c>
      <c r="B569">
        <f>VLOOKUP(C569,[1]lookuptable!$A$1:$C$7,2,0)</f>
        <v>59036</v>
      </c>
      <c r="C569" t="s">
        <v>12</v>
      </c>
      <c r="D569" s="1">
        <v>142</v>
      </c>
      <c r="E569">
        <v>1</v>
      </c>
      <c r="F569">
        <v>189</v>
      </c>
      <c r="G569">
        <v>190</v>
      </c>
      <c r="H569">
        <v>547</v>
      </c>
      <c r="I569" s="2">
        <v>34.734917729999999</v>
      </c>
      <c r="J569" cm="1">
        <f t="array" ref="J569">IF(AND(I569&gt;=0,I569&lt;=20),0,IF(AND(I569&gt;20,I569&lt;=40),1, IF(AND(I569&gt;40,I569&lt;=60),2,IF(AND(I569&gt;60,I569&lt;=80),3, IF(AND(I569&gt;80,I569&lt;=100),4,”5”)))))</f>
        <v>1</v>
      </c>
    </row>
    <row r="570" spans="1:10" x14ac:dyDescent="0.3">
      <c r="A570" t="str">
        <f t="shared" si="11"/>
        <v>59036_143</v>
      </c>
      <c r="B570">
        <f>VLOOKUP(C570,[1]lookuptable!$A$1:$C$7,2,0)</f>
        <v>59036</v>
      </c>
      <c r="C570" t="s">
        <v>12</v>
      </c>
      <c r="D570" s="1">
        <v>143</v>
      </c>
      <c r="E570">
        <v>2</v>
      </c>
      <c r="F570">
        <v>115</v>
      </c>
      <c r="G570">
        <v>117</v>
      </c>
      <c r="H570">
        <v>359</v>
      </c>
      <c r="I570" s="2">
        <v>32.590529250000003</v>
      </c>
      <c r="J570" cm="1">
        <f t="array" ref="J570">IF(AND(I570&gt;=0,I570&lt;=20),0,IF(AND(I570&gt;20,I570&lt;=40),1, IF(AND(I570&gt;40,I570&lt;=60),2,IF(AND(I570&gt;60,I570&lt;=80),3, IF(AND(I570&gt;80,I570&lt;=100),4,”5”)))))</f>
        <v>1</v>
      </c>
    </row>
    <row r="571" spans="1:10" x14ac:dyDescent="0.3">
      <c r="A571" t="str">
        <f t="shared" si="11"/>
        <v>59036_144</v>
      </c>
      <c r="B571">
        <f>VLOOKUP(C571,[1]lookuptable!$A$1:$C$7,2,0)</f>
        <v>59036</v>
      </c>
      <c r="C571" t="s">
        <v>12</v>
      </c>
      <c r="D571" s="1">
        <v>144</v>
      </c>
      <c r="E571">
        <v>1</v>
      </c>
      <c r="F571">
        <v>108</v>
      </c>
      <c r="G571">
        <v>109</v>
      </c>
      <c r="H571">
        <v>462</v>
      </c>
      <c r="I571" s="2">
        <v>23.593073589999999</v>
      </c>
      <c r="J571" cm="1">
        <f t="array" ref="J571">IF(AND(I571&gt;=0,I571&lt;=20),0,IF(AND(I571&gt;20,I571&lt;=40),1, IF(AND(I571&gt;40,I571&lt;=60),2,IF(AND(I571&gt;60,I571&lt;=80),3, IF(AND(I571&gt;80,I571&lt;=100),4,”5”)))))</f>
        <v>1</v>
      </c>
    </row>
    <row r="572" spans="1:10" x14ac:dyDescent="0.3">
      <c r="A572" t="str">
        <f t="shared" si="11"/>
        <v>59036_145</v>
      </c>
      <c r="B572">
        <f>VLOOKUP(C572,[1]lookuptable!$A$1:$C$7,2,0)</f>
        <v>59036</v>
      </c>
      <c r="C572" t="s">
        <v>12</v>
      </c>
      <c r="D572" s="1">
        <v>145</v>
      </c>
      <c r="E572">
        <v>0</v>
      </c>
      <c r="F572">
        <v>150</v>
      </c>
      <c r="G572">
        <v>150</v>
      </c>
      <c r="H572">
        <v>513</v>
      </c>
      <c r="I572" s="2">
        <v>29.239766079999999</v>
      </c>
      <c r="J572" cm="1">
        <f t="array" ref="J572">IF(AND(I572&gt;=0,I572&lt;=20),0,IF(AND(I572&gt;20,I572&lt;=40),1, IF(AND(I572&gt;40,I572&lt;=60),2,IF(AND(I572&gt;60,I572&lt;=80),3, IF(AND(I572&gt;80,I572&lt;=100),4,”5”)))))</f>
        <v>1</v>
      </c>
    </row>
    <row r="573" spans="1:10" x14ac:dyDescent="0.3">
      <c r="A573" t="str">
        <f t="shared" si="11"/>
        <v>59036_146</v>
      </c>
      <c r="B573">
        <f>VLOOKUP(C573,[1]lookuptable!$A$1:$C$7,2,0)</f>
        <v>59036</v>
      </c>
      <c r="C573" t="s">
        <v>12</v>
      </c>
      <c r="D573" s="1">
        <v>146</v>
      </c>
      <c r="E573">
        <v>2</v>
      </c>
      <c r="F573">
        <v>140</v>
      </c>
      <c r="G573">
        <v>142</v>
      </c>
      <c r="H573">
        <v>516</v>
      </c>
      <c r="I573" s="2">
        <v>27.519379839999999</v>
      </c>
      <c r="J573" cm="1">
        <f t="array" ref="J573">IF(AND(I573&gt;=0,I573&lt;=20),0,IF(AND(I573&gt;20,I573&lt;=40),1, IF(AND(I573&gt;40,I573&lt;=60),2,IF(AND(I573&gt;60,I573&lt;=80),3, IF(AND(I573&gt;80,I573&lt;=100),4,”5”)))))</f>
        <v>1</v>
      </c>
    </row>
    <row r="574" spans="1:10" x14ac:dyDescent="0.3">
      <c r="A574" t="str">
        <f t="shared" si="11"/>
        <v>59036_147</v>
      </c>
      <c r="B574">
        <f>VLOOKUP(C574,[1]lookuptable!$A$1:$C$7,2,0)</f>
        <v>59036</v>
      </c>
      <c r="C574" t="s">
        <v>12</v>
      </c>
      <c r="D574" s="1">
        <v>147</v>
      </c>
      <c r="E574">
        <v>0</v>
      </c>
      <c r="F574">
        <v>119</v>
      </c>
      <c r="G574">
        <v>119</v>
      </c>
      <c r="H574">
        <v>463</v>
      </c>
      <c r="I574" s="2">
        <v>25.701943839999998</v>
      </c>
      <c r="J574" cm="1">
        <f t="array" ref="J574">IF(AND(I574&gt;=0,I574&lt;=20),0,IF(AND(I574&gt;20,I574&lt;=40),1, IF(AND(I574&gt;40,I574&lt;=60),2,IF(AND(I574&gt;60,I574&lt;=80),3, IF(AND(I574&gt;80,I574&lt;=100),4,”5”)))))</f>
        <v>1</v>
      </c>
    </row>
    <row r="575" spans="1:10" x14ac:dyDescent="0.3">
      <c r="A575" t="str">
        <f t="shared" si="11"/>
        <v>59036_148</v>
      </c>
      <c r="B575">
        <f>VLOOKUP(C575,[1]lookuptable!$A$1:$C$7,2,0)</f>
        <v>59036</v>
      </c>
      <c r="C575" t="s">
        <v>12</v>
      </c>
      <c r="D575" s="1">
        <v>148</v>
      </c>
      <c r="E575">
        <v>0</v>
      </c>
      <c r="F575">
        <v>112</v>
      </c>
      <c r="G575">
        <v>112</v>
      </c>
      <c r="H575">
        <v>468</v>
      </c>
      <c r="I575" s="2">
        <v>23.931623930000001</v>
      </c>
      <c r="J575" cm="1">
        <f t="array" ref="J575">IF(AND(I575&gt;=0,I575&lt;=20),0,IF(AND(I575&gt;20,I575&lt;=40),1, IF(AND(I575&gt;40,I575&lt;=60),2,IF(AND(I575&gt;60,I575&lt;=80),3, IF(AND(I575&gt;80,I575&lt;=100),4,”5”)))))</f>
        <v>1</v>
      </c>
    </row>
    <row r="576" spans="1:10" x14ac:dyDescent="0.3">
      <c r="A576" t="str">
        <f t="shared" si="11"/>
        <v>59036_149</v>
      </c>
      <c r="B576">
        <f>VLOOKUP(C576,[1]lookuptable!$A$1:$C$7,2,0)</f>
        <v>59036</v>
      </c>
      <c r="C576" t="s">
        <v>12</v>
      </c>
      <c r="D576" s="1">
        <v>149</v>
      </c>
      <c r="E576">
        <v>1</v>
      </c>
      <c r="F576">
        <v>128</v>
      </c>
      <c r="G576">
        <v>129</v>
      </c>
      <c r="H576">
        <v>475</v>
      </c>
      <c r="I576" s="2">
        <v>27.15789474</v>
      </c>
      <c r="J576" cm="1">
        <f t="array" ref="J576">IF(AND(I576&gt;=0,I576&lt;=20),0,IF(AND(I576&gt;20,I576&lt;=40),1, IF(AND(I576&gt;40,I576&lt;=60),2,IF(AND(I576&gt;60,I576&lt;=80),3, IF(AND(I576&gt;80,I576&lt;=100),4,”5”)))))</f>
        <v>1</v>
      </c>
    </row>
    <row r="577" spans="1:10" x14ac:dyDescent="0.3">
      <c r="A577" t="str">
        <f t="shared" si="11"/>
        <v>59036_150</v>
      </c>
      <c r="B577">
        <f>VLOOKUP(C577,[1]lookuptable!$A$1:$C$7,2,0)</f>
        <v>59036</v>
      </c>
      <c r="C577" t="s">
        <v>12</v>
      </c>
      <c r="D577" s="1">
        <v>150</v>
      </c>
      <c r="E577">
        <v>3</v>
      </c>
      <c r="F577">
        <v>152</v>
      </c>
      <c r="G577">
        <v>155</v>
      </c>
      <c r="H577">
        <v>556</v>
      </c>
      <c r="I577" s="2">
        <v>27.87769784</v>
      </c>
      <c r="J577" cm="1">
        <f t="array" ref="J577">IF(AND(I577&gt;=0,I577&lt;=20),0,IF(AND(I577&gt;20,I577&lt;=40),1, IF(AND(I577&gt;40,I577&lt;=60),2,IF(AND(I577&gt;60,I577&lt;=80),3, IF(AND(I577&gt;80,I577&lt;=100),4,”5”)))))</f>
        <v>1</v>
      </c>
    </row>
    <row r="578" spans="1:10" x14ac:dyDescent="0.3">
      <c r="A578" t="str">
        <f t="shared" ref="A578:A641" si="12">CONCATENATE(B578,"_",D578)</f>
        <v>59036_151</v>
      </c>
      <c r="B578">
        <f>VLOOKUP(C578,[1]lookuptable!$A$1:$C$7,2,0)</f>
        <v>59036</v>
      </c>
      <c r="C578" t="s">
        <v>12</v>
      </c>
      <c r="D578" s="1">
        <v>151</v>
      </c>
      <c r="E578">
        <v>1</v>
      </c>
      <c r="F578">
        <v>97</v>
      </c>
      <c r="G578">
        <v>98</v>
      </c>
      <c r="H578">
        <v>457</v>
      </c>
      <c r="I578" s="2">
        <v>21.44420131</v>
      </c>
      <c r="J578" cm="1">
        <f t="array" ref="J578">IF(AND(I578&gt;=0,I578&lt;=20),0,IF(AND(I578&gt;20,I578&lt;=40),1, IF(AND(I578&gt;40,I578&lt;=60),2,IF(AND(I578&gt;60,I578&lt;=80),3, IF(AND(I578&gt;80,I578&lt;=100),4,”5”)))))</f>
        <v>1</v>
      </c>
    </row>
    <row r="579" spans="1:10" x14ac:dyDescent="0.3">
      <c r="A579" t="str">
        <f t="shared" si="12"/>
        <v>59036_152</v>
      </c>
      <c r="B579">
        <f>VLOOKUP(C579,[1]lookuptable!$A$1:$C$7,2,0)</f>
        <v>59036</v>
      </c>
      <c r="C579" t="s">
        <v>12</v>
      </c>
      <c r="D579" s="1">
        <v>152</v>
      </c>
      <c r="E579">
        <v>1</v>
      </c>
      <c r="F579">
        <v>130</v>
      </c>
      <c r="G579">
        <v>131</v>
      </c>
      <c r="H579">
        <v>427</v>
      </c>
      <c r="I579" s="2">
        <v>30.67915691</v>
      </c>
      <c r="J579" cm="1">
        <f t="array" ref="J579">IF(AND(I579&gt;=0,I579&lt;=20),0,IF(AND(I579&gt;20,I579&lt;=40),1, IF(AND(I579&gt;40,I579&lt;=60),2,IF(AND(I579&gt;60,I579&lt;=80),3, IF(AND(I579&gt;80,I579&lt;=100),4,”5”)))))</f>
        <v>1</v>
      </c>
    </row>
    <row r="580" spans="1:10" x14ac:dyDescent="0.3">
      <c r="A580" t="str">
        <f t="shared" si="12"/>
        <v>59036_153</v>
      </c>
      <c r="B580">
        <f>VLOOKUP(C580,[1]lookuptable!$A$1:$C$7,2,0)</f>
        <v>59036</v>
      </c>
      <c r="C580" t="s">
        <v>12</v>
      </c>
      <c r="D580" s="1">
        <v>153</v>
      </c>
      <c r="E580">
        <v>3</v>
      </c>
      <c r="F580">
        <v>153</v>
      </c>
      <c r="G580">
        <v>156</v>
      </c>
      <c r="H580">
        <v>412</v>
      </c>
      <c r="I580" s="2">
        <v>37.86407767</v>
      </c>
      <c r="J580" cm="1">
        <f t="array" ref="J580">IF(AND(I580&gt;=0,I580&lt;=20),0,IF(AND(I580&gt;20,I580&lt;=40),1, IF(AND(I580&gt;40,I580&lt;=60),2,IF(AND(I580&gt;60,I580&lt;=80),3, IF(AND(I580&gt;80,I580&lt;=100),4,”5”)))))</f>
        <v>1</v>
      </c>
    </row>
    <row r="581" spans="1:10" x14ac:dyDescent="0.3">
      <c r="A581" t="str">
        <f t="shared" si="12"/>
        <v>59036_154</v>
      </c>
      <c r="B581">
        <f>VLOOKUP(C581,[1]lookuptable!$A$1:$C$7,2,0)</f>
        <v>59036</v>
      </c>
      <c r="C581" t="s">
        <v>12</v>
      </c>
      <c r="D581" s="1">
        <v>154</v>
      </c>
      <c r="E581">
        <v>1</v>
      </c>
      <c r="F581">
        <v>110</v>
      </c>
      <c r="G581">
        <v>111</v>
      </c>
      <c r="H581">
        <v>429</v>
      </c>
      <c r="I581" s="2">
        <v>25.87412587</v>
      </c>
      <c r="J581" cm="1">
        <f t="array" ref="J581">IF(AND(I581&gt;=0,I581&lt;=20),0,IF(AND(I581&gt;20,I581&lt;=40),1, IF(AND(I581&gt;40,I581&lt;=60),2,IF(AND(I581&gt;60,I581&lt;=80),3, IF(AND(I581&gt;80,I581&lt;=100),4,”5”)))))</f>
        <v>1</v>
      </c>
    </row>
    <row r="582" spans="1:10" x14ac:dyDescent="0.3">
      <c r="A582" t="str">
        <f t="shared" si="12"/>
        <v>59036_155</v>
      </c>
      <c r="B582">
        <f>VLOOKUP(C582,[1]lookuptable!$A$1:$C$7,2,0)</f>
        <v>59036</v>
      </c>
      <c r="C582" t="s">
        <v>12</v>
      </c>
      <c r="D582" s="1">
        <v>155</v>
      </c>
      <c r="E582">
        <v>1</v>
      </c>
      <c r="F582">
        <v>182</v>
      </c>
      <c r="G582">
        <v>183</v>
      </c>
      <c r="H582">
        <v>592</v>
      </c>
      <c r="I582" s="2">
        <v>30.912162160000001</v>
      </c>
      <c r="J582" cm="1">
        <f t="array" ref="J582">IF(AND(I582&gt;=0,I582&lt;=20),0,IF(AND(I582&gt;20,I582&lt;=40),1, IF(AND(I582&gt;40,I582&lt;=60),2,IF(AND(I582&gt;60,I582&lt;=80),3, IF(AND(I582&gt;80,I582&lt;=100),4,”5”)))))</f>
        <v>1</v>
      </c>
    </row>
    <row r="583" spans="1:10" x14ac:dyDescent="0.3">
      <c r="A583" t="str">
        <f t="shared" si="12"/>
        <v>59036_156</v>
      </c>
      <c r="B583">
        <f>VLOOKUP(C583,[1]lookuptable!$A$1:$C$7,2,0)</f>
        <v>59036</v>
      </c>
      <c r="C583" t="s">
        <v>12</v>
      </c>
      <c r="D583" s="1">
        <v>156</v>
      </c>
      <c r="E583">
        <v>1</v>
      </c>
      <c r="F583">
        <v>132</v>
      </c>
      <c r="G583">
        <v>133</v>
      </c>
      <c r="H583">
        <v>365</v>
      </c>
      <c r="I583" s="2">
        <v>36.438356159999998</v>
      </c>
      <c r="J583" cm="1">
        <f t="array" ref="J583">IF(AND(I583&gt;=0,I583&lt;=20),0,IF(AND(I583&gt;20,I583&lt;=40),1, IF(AND(I583&gt;40,I583&lt;=60),2,IF(AND(I583&gt;60,I583&lt;=80),3, IF(AND(I583&gt;80,I583&lt;=100),4,”5”)))))</f>
        <v>1</v>
      </c>
    </row>
    <row r="584" spans="1:10" x14ac:dyDescent="0.3">
      <c r="A584" t="str">
        <f t="shared" si="12"/>
        <v>59036_157</v>
      </c>
      <c r="B584">
        <f>VLOOKUP(C584,[1]lookuptable!$A$1:$C$7,2,0)</f>
        <v>59036</v>
      </c>
      <c r="C584" t="s">
        <v>12</v>
      </c>
      <c r="D584" s="1">
        <v>157</v>
      </c>
      <c r="E584">
        <v>0</v>
      </c>
      <c r="F584">
        <v>132</v>
      </c>
      <c r="G584">
        <v>132</v>
      </c>
      <c r="H584">
        <v>425</v>
      </c>
      <c r="I584" s="2">
        <v>31.058823530000002</v>
      </c>
      <c r="J584" cm="1">
        <f t="array" ref="J584">IF(AND(I584&gt;=0,I584&lt;=20),0,IF(AND(I584&gt;20,I584&lt;=40),1, IF(AND(I584&gt;40,I584&lt;=60),2,IF(AND(I584&gt;60,I584&lt;=80),3, IF(AND(I584&gt;80,I584&lt;=100),4,”5”)))))</f>
        <v>1</v>
      </c>
    </row>
    <row r="585" spans="1:10" x14ac:dyDescent="0.3">
      <c r="A585" t="str">
        <f t="shared" si="12"/>
        <v>59036_158</v>
      </c>
      <c r="B585">
        <f>VLOOKUP(C585,[1]lookuptable!$A$1:$C$7,2,0)</f>
        <v>59036</v>
      </c>
      <c r="C585" t="s">
        <v>12</v>
      </c>
      <c r="D585" s="1">
        <v>158</v>
      </c>
      <c r="E585">
        <v>1</v>
      </c>
      <c r="F585">
        <v>101</v>
      </c>
      <c r="G585">
        <v>102</v>
      </c>
      <c r="H585">
        <v>385</v>
      </c>
      <c r="I585" s="2">
        <v>26.493506490000001</v>
      </c>
      <c r="J585" cm="1">
        <f t="array" ref="J585">IF(AND(I585&gt;=0,I585&lt;=20),0,IF(AND(I585&gt;20,I585&lt;=40),1, IF(AND(I585&gt;40,I585&lt;=60),2,IF(AND(I585&gt;60,I585&lt;=80),3, IF(AND(I585&gt;80,I585&lt;=100),4,”5”)))))</f>
        <v>1</v>
      </c>
    </row>
    <row r="586" spans="1:10" x14ac:dyDescent="0.3">
      <c r="A586" t="str">
        <f t="shared" si="12"/>
        <v>59036_159</v>
      </c>
      <c r="B586">
        <f>VLOOKUP(C586,[1]lookuptable!$A$1:$C$7,2,0)</f>
        <v>59036</v>
      </c>
      <c r="C586" t="s">
        <v>12</v>
      </c>
      <c r="D586" s="1">
        <v>159</v>
      </c>
      <c r="E586">
        <v>0</v>
      </c>
      <c r="F586">
        <v>187</v>
      </c>
      <c r="G586">
        <v>187</v>
      </c>
      <c r="H586">
        <v>581</v>
      </c>
      <c r="I586" s="2">
        <v>32.185886400000001</v>
      </c>
      <c r="J586" cm="1">
        <f t="array" ref="J586">IF(AND(I586&gt;=0,I586&lt;=20),0,IF(AND(I586&gt;20,I586&lt;=40),1, IF(AND(I586&gt;40,I586&lt;=60),2,IF(AND(I586&gt;60,I586&lt;=80),3, IF(AND(I586&gt;80,I586&lt;=100),4,”5”)))))</f>
        <v>1</v>
      </c>
    </row>
    <row r="587" spans="1:10" x14ac:dyDescent="0.3">
      <c r="A587" t="str">
        <f t="shared" si="12"/>
        <v>59036_160</v>
      </c>
      <c r="B587">
        <f>VLOOKUP(C587,[1]lookuptable!$A$1:$C$7,2,0)</f>
        <v>59036</v>
      </c>
      <c r="C587" t="s">
        <v>12</v>
      </c>
      <c r="D587" s="1">
        <v>160</v>
      </c>
      <c r="E587">
        <v>1</v>
      </c>
      <c r="F587">
        <v>165</v>
      </c>
      <c r="G587">
        <v>166</v>
      </c>
      <c r="H587">
        <v>591</v>
      </c>
      <c r="I587" s="2">
        <v>28.08798646</v>
      </c>
      <c r="J587" cm="1">
        <f t="array" ref="J587">IF(AND(I587&gt;=0,I587&lt;=20),0,IF(AND(I587&gt;20,I587&lt;=40),1, IF(AND(I587&gt;40,I587&lt;=60),2,IF(AND(I587&gt;60,I587&lt;=80),3, IF(AND(I587&gt;80,I587&lt;=100),4,”5”)))))</f>
        <v>1</v>
      </c>
    </row>
    <row r="588" spans="1:10" x14ac:dyDescent="0.3">
      <c r="A588" t="str">
        <f t="shared" si="12"/>
        <v>59036_161</v>
      </c>
      <c r="B588">
        <f>VLOOKUP(C588,[1]lookuptable!$A$1:$C$7,2,0)</f>
        <v>59036</v>
      </c>
      <c r="C588" t="s">
        <v>12</v>
      </c>
      <c r="D588" s="1">
        <v>161</v>
      </c>
      <c r="E588">
        <v>1</v>
      </c>
      <c r="F588">
        <v>116</v>
      </c>
      <c r="G588">
        <v>117</v>
      </c>
      <c r="H588">
        <v>386</v>
      </c>
      <c r="I588" s="2">
        <v>30.310880829999999</v>
      </c>
      <c r="J588" cm="1">
        <f t="array" ref="J588">IF(AND(I588&gt;=0,I588&lt;=20),0,IF(AND(I588&gt;20,I588&lt;=40),1, IF(AND(I588&gt;40,I588&lt;=60),2,IF(AND(I588&gt;60,I588&lt;=80),3, IF(AND(I588&gt;80,I588&lt;=100),4,”5”)))))</f>
        <v>1</v>
      </c>
    </row>
    <row r="589" spans="1:10" x14ac:dyDescent="0.3">
      <c r="A589" t="str">
        <f t="shared" si="12"/>
        <v>59036_162</v>
      </c>
      <c r="B589">
        <f>VLOOKUP(C589,[1]lookuptable!$A$1:$C$7,2,0)</f>
        <v>59036</v>
      </c>
      <c r="C589" t="s">
        <v>12</v>
      </c>
      <c r="D589" s="1">
        <v>162</v>
      </c>
      <c r="E589">
        <v>1</v>
      </c>
      <c r="F589">
        <v>124</v>
      </c>
      <c r="G589">
        <v>125</v>
      </c>
      <c r="H589">
        <v>410</v>
      </c>
      <c r="I589" s="2">
        <v>30.487804879999999</v>
      </c>
      <c r="J589" cm="1">
        <f t="array" ref="J589">IF(AND(I589&gt;=0,I589&lt;=20),0,IF(AND(I589&gt;20,I589&lt;=40),1, IF(AND(I589&gt;40,I589&lt;=60),2,IF(AND(I589&gt;60,I589&lt;=80),3, IF(AND(I589&gt;80,I589&lt;=100),4,”5”)))))</f>
        <v>1</v>
      </c>
    </row>
    <row r="590" spans="1:10" x14ac:dyDescent="0.3">
      <c r="A590" t="str">
        <f t="shared" si="12"/>
        <v>59036_164</v>
      </c>
      <c r="B590">
        <f>VLOOKUP(C590,[1]lookuptable!$A$1:$C$7,2,0)</f>
        <v>59036</v>
      </c>
      <c r="C590" t="s">
        <v>12</v>
      </c>
      <c r="D590" s="1">
        <v>164</v>
      </c>
      <c r="E590">
        <v>0</v>
      </c>
      <c r="F590">
        <v>141</v>
      </c>
      <c r="G590">
        <v>141</v>
      </c>
      <c r="H590">
        <v>508</v>
      </c>
      <c r="I590" s="2">
        <v>27.755905510000002</v>
      </c>
      <c r="J590" cm="1">
        <f t="array" ref="J590">IF(AND(I590&gt;=0,I590&lt;=20),0,IF(AND(I590&gt;20,I590&lt;=40),1, IF(AND(I590&gt;40,I590&lt;=60),2,IF(AND(I590&gt;60,I590&lt;=80),3, IF(AND(I590&gt;80,I590&lt;=100),4,”5”)))))</f>
        <v>1</v>
      </c>
    </row>
    <row r="591" spans="1:10" x14ac:dyDescent="0.3">
      <c r="A591" t="str">
        <f t="shared" si="12"/>
        <v>59036_165</v>
      </c>
      <c r="B591">
        <f>VLOOKUP(C591,[1]lookuptable!$A$1:$C$7,2,0)</f>
        <v>59036</v>
      </c>
      <c r="C591" t="s">
        <v>12</v>
      </c>
      <c r="D591" s="1">
        <v>165</v>
      </c>
      <c r="E591">
        <v>0</v>
      </c>
      <c r="F591">
        <v>100</v>
      </c>
      <c r="G591">
        <v>100</v>
      </c>
      <c r="H591">
        <v>416</v>
      </c>
      <c r="I591" s="2">
        <v>24.03846154</v>
      </c>
      <c r="J591" cm="1">
        <f t="array" ref="J591">IF(AND(I591&gt;=0,I591&lt;=20),0,IF(AND(I591&gt;20,I591&lt;=40),1, IF(AND(I591&gt;40,I591&lt;=60),2,IF(AND(I591&gt;60,I591&lt;=80),3, IF(AND(I591&gt;80,I591&lt;=100),4,”5”)))))</f>
        <v>1</v>
      </c>
    </row>
    <row r="592" spans="1:10" x14ac:dyDescent="0.3">
      <c r="A592" t="str">
        <f t="shared" si="12"/>
        <v>59036_166</v>
      </c>
      <c r="B592">
        <f>VLOOKUP(C592,[1]lookuptable!$A$1:$C$7,2,0)</f>
        <v>59036</v>
      </c>
      <c r="C592" t="s">
        <v>12</v>
      </c>
      <c r="D592" s="1">
        <v>166</v>
      </c>
      <c r="E592">
        <v>1</v>
      </c>
      <c r="F592">
        <v>219</v>
      </c>
      <c r="G592">
        <v>220</v>
      </c>
      <c r="H592">
        <v>649</v>
      </c>
      <c r="I592" s="2">
        <v>33.89830508</v>
      </c>
      <c r="J592" cm="1">
        <f t="array" ref="J592">IF(AND(I592&gt;=0,I592&lt;=20),0,IF(AND(I592&gt;20,I592&lt;=40),1, IF(AND(I592&gt;40,I592&lt;=60),2,IF(AND(I592&gt;60,I592&lt;=80),3, IF(AND(I592&gt;80,I592&lt;=100),4,”5”)))))</f>
        <v>1</v>
      </c>
    </row>
    <row r="593" spans="1:10" x14ac:dyDescent="0.3">
      <c r="A593" t="str">
        <f t="shared" si="12"/>
        <v>59036_167</v>
      </c>
      <c r="B593">
        <f>VLOOKUP(C593,[1]lookuptable!$A$1:$C$7,2,0)</f>
        <v>59036</v>
      </c>
      <c r="C593" t="s">
        <v>12</v>
      </c>
      <c r="D593" s="1">
        <v>167</v>
      </c>
      <c r="E593">
        <v>0</v>
      </c>
      <c r="F593">
        <v>138</v>
      </c>
      <c r="G593">
        <v>138</v>
      </c>
      <c r="H593">
        <v>421</v>
      </c>
      <c r="I593" s="2">
        <v>32.779097389999997</v>
      </c>
      <c r="J593" cm="1">
        <f t="array" ref="J593">IF(AND(I593&gt;=0,I593&lt;=20),0,IF(AND(I593&gt;20,I593&lt;=40),1, IF(AND(I593&gt;40,I593&lt;=60),2,IF(AND(I593&gt;60,I593&lt;=80),3, IF(AND(I593&gt;80,I593&lt;=100),4,”5”)))))</f>
        <v>1</v>
      </c>
    </row>
    <row r="594" spans="1:10" x14ac:dyDescent="0.3">
      <c r="A594" t="str">
        <f t="shared" si="12"/>
        <v>59036_168</v>
      </c>
      <c r="B594">
        <f>VLOOKUP(C594,[1]lookuptable!$A$1:$C$7,2,0)</f>
        <v>59036</v>
      </c>
      <c r="C594" t="s">
        <v>12</v>
      </c>
      <c r="D594" s="1">
        <v>168</v>
      </c>
      <c r="E594">
        <v>0</v>
      </c>
      <c r="F594">
        <v>114</v>
      </c>
      <c r="G594">
        <v>114</v>
      </c>
      <c r="H594">
        <v>437</v>
      </c>
      <c r="I594" s="2">
        <v>26.086956520000001</v>
      </c>
      <c r="J594" cm="1">
        <f t="array" ref="J594">IF(AND(I594&gt;=0,I594&lt;=20),0,IF(AND(I594&gt;20,I594&lt;=40),1, IF(AND(I594&gt;40,I594&lt;=60),2,IF(AND(I594&gt;60,I594&lt;=80),3, IF(AND(I594&gt;80,I594&lt;=100),4,”5”)))))</f>
        <v>1</v>
      </c>
    </row>
    <row r="595" spans="1:10" x14ac:dyDescent="0.3">
      <c r="A595" t="str">
        <f t="shared" si="12"/>
        <v>59036_169</v>
      </c>
      <c r="B595">
        <f>VLOOKUP(C595,[1]lookuptable!$A$1:$C$7,2,0)</f>
        <v>59036</v>
      </c>
      <c r="C595" t="s">
        <v>12</v>
      </c>
      <c r="D595" s="1">
        <v>169</v>
      </c>
      <c r="E595">
        <v>0</v>
      </c>
      <c r="F595">
        <v>153</v>
      </c>
      <c r="G595">
        <v>153</v>
      </c>
      <c r="H595">
        <v>462</v>
      </c>
      <c r="I595" s="2">
        <v>33.116883119999997</v>
      </c>
      <c r="J595" cm="1">
        <f t="array" ref="J595">IF(AND(I595&gt;=0,I595&lt;=20),0,IF(AND(I595&gt;20,I595&lt;=40),1, IF(AND(I595&gt;40,I595&lt;=60),2,IF(AND(I595&gt;60,I595&lt;=80),3, IF(AND(I595&gt;80,I595&lt;=100),4,”5”)))))</f>
        <v>1</v>
      </c>
    </row>
    <row r="596" spans="1:10" x14ac:dyDescent="0.3">
      <c r="A596" t="str">
        <f t="shared" si="12"/>
        <v>59036_170</v>
      </c>
      <c r="B596">
        <f>VLOOKUP(C596,[1]lookuptable!$A$1:$C$7,2,0)</f>
        <v>59036</v>
      </c>
      <c r="C596" t="s">
        <v>12</v>
      </c>
      <c r="D596" s="1">
        <v>170</v>
      </c>
      <c r="E596">
        <v>0</v>
      </c>
      <c r="F596">
        <v>154</v>
      </c>
      <c r="G596">
        <v>154</v>
      </c>
      <c r="H596">
        <v>484</v>
      </c>
      <c r="I596" s="2">
        <v>31.81818182</v>
      </c>
      <c r="J596" cm="1">
        <f t="array" ref="J596">IF(AND(I596&gt;=0,I596&lt;=20),0,IF(AND(I596&gt;20,I596&lt;=40),1, IF(AND(I596&gt;40,I596&lt;=60),2,IF(AND(I596&gt;60,I596&lt;=80),3, IF(AND(I596&gt;80,I596&lt;=100),4,”5”)))))</f>
        <v>1</v>
      </c>
    </row>
    <row r="597" spans="1:10" x14ac:dyDescent="0.3">
      <c r="A597" t="str">
        <f t="shared" si="12"/>
        <v>59036_171</v>
      </c>
      <c r="B597">
        <f>VLOOKUP(C597,[1]lookuptable!$A$1:$C$7,2,0)</f>
        <v>59036</v>
      </c>
      <c r="C597" t="s">
        <v>12</v>
      </c>
      <c r="D597" s="1">
        <v>171</v>
      </c>
      <c r="E597">
        <v>0</v>
      </c>
      <c r="F597">
        <v>127</v>
      </c>
      <c r="G597">
        <v>127</v>
      </c>
      <c r="H597">
        <v>468</v>
      </c>
      <c r="I597" s="2">
        <v>27.136752139999999</v>
      </c>
      <c r="J597" cm="1">
        <f t="array" ref="J597">IF(AND(I597&gt;=0,I597&lt;=20),0,IF(AND(I597&gt;20,I597&lt;=40),1, IF(AND(I597&gt;40,I597&lt;=60),2,IF(AND(I597&gt;60,I597&lt;=80),3, IF(AND(I597&gt;80,I597&lt;=100),4,”5”)))))</f>
        <v>1</v>
      </c>
    </row>
    <row r="598" spans="1:10" x14ac:dyDescent="0.3">
      <c r="A598" t="str">
        <f t="shared" si="12"/>
        <v>59036_172</v>
      </c>
      <c r="B598">
        <f>VLOOKUP(C598,[1]lookuptable!$A$1:$C$7,2,0)</f>
        <v>59036</v>
      </c>
      <c r="C598" t="s">
        <v>12</v>
      </c>
      <c r="D598" s="1">
        <v>172</v>
      </c>
      <c r="E598">
        <v>1</v>
      </c>
      <c r="F598">
        <v>108</v>
      </c>
      <c r="G598">
        <v>109</v>
      </c>
      <c r="H598">
        <v>422</v>
      </c>
      <c r="I598" s="2">
        <v>25.829383889999999</v>
      </c>
      <c r="J598" cm="1">
        <f t="array" ref="J598">IF(AND(I598&gt;=0,I598&lt;=20),0,IF(AND(I598&gt;20,I598&lt;=40),1, IF(AND(I598&gt;40,I598&lt;=60),2,IF(AND(I598&gt;60,I598&lt;=80),3, IF(AND(I598&gt;80,I598&lt;=100),4,”5”)))))</f>
        <v>1</v>
      </c>
    </row>
    <row r="599" spans="1:10" x14ac:dyDescent="0.3">
      <c r="A599" t="str">
        <f t="shared" si="12"/>
        <v>59036_173</v>
      </c>
      <c r="B599">
        <f>VLOOKUP(C599,[1]lookuptable!$A$1:$C$7,2,0)</f>
        <v>59036</v>
      </c>
      <c r="C599" t="s">
        <v>12</v>
      </c>
      <c r="D599" s="1">
        <v>173</v>
      </c>
      <c r="E599">
        <v>3</v>
      </c>
      <c r="F599">
        <v>110</v>
      </c>
      <c r="G599">
        <v>113</v>
      </c>
      <c r="H599">
        <v>529</v>
      </c>
      <c r="I599" s="2">
        <v>21.3610586</v>
      </c>
      <c r="J599" cm="1">
        <f t="array" ref="J599">IF(AND(I599&gt;=0,I599&lt;=20),0,IF(AND(I599&gt;20,I599&lt;=40),1, IF(AND(I599&gt;40,I599&lt;=60),2,IF(AND(I599&gt;60,I599&lt;=80),3, IF(AND(I599&gt;80,I599&lt;=100),4,”5”)))))</f>
        <v>1</v>
      </c>
    </row>
    <row r="600" spans="1:10" x14ac:dyDescent="0.3">
      <c r="A600" t="str">
        <f t="shared" si="12"/>
        <v>59036_174</v>
      </c>
      <c r="B600">
        <f>VLOOKUP(C600,[1]lookuptable!$A$1:$C$7,2,0)</f>
        <v>59036</v>
      </c>
      <c r="C600" t="s">
        <v>12</v>
      </c>
      <c r="D600" s="1">
        <v>174</v>
      </c>
      <c r="E600">
        <v>1</v>
      </c>
      <c r="F600">
        <v>131</v>
      </c>
      <c r="G600">
        <v>132</v>
      </c>
      <c r="H600">
        <v>488</v>
      </c>
      <c r="I600" s="2">
        <v>27.049180329999999</v>
      </c>
      <c r="J600" cm="1">
        <f t="array" ref="J600">IF(AND(I600&gt;=0,I600&lt;=20),0,IF(AND(I600&gt;20,I600&lt;=40),1, IF(AND(I600&gt;40,I600&lt;=60),2,IF(AND(I600&gt;60,I600&lt;=80),3, IF(AND(I600&gt;80,I600&lt;=100),4,”5”)))))</f>
        <v>1</v>
      </c>
    </row>
    <row r="601" spans="1:10" x14ac:dyDescent="0.3">
      <c r="A601" t="str">
        <f t="shared" si="12"/>
        <v>59036_175</v>
      </c>
      <c r="B601">
        <f>VLOOKUP(C601,[1]lookuptable!$A$1:$C$7,2,0)</f>
        <v>59036</v>
      </c>
      <c r="C601" t="s">
        <v>12</v>
      </c>
      <c r="D601" s="1">
        <v>175</v>
      </c>
      <c r="E601">
        <v>1</v>
      </c>
      <c r="F601">
        <v>135</v>
      </c>
      <c r="G601">
        <v>136</v>
      </c>
      <c r="H601">
        <v>399</v>
      </c>
      <c r="I601" s="2">
        <v>34.085213029999998</v>
      </c>
      <c r="J601" cm="1">
        <f t="array" ref="J601">IF(AND(I601&gt;=0,I601&lt;=20),0,IF(AND(I601&gt;20,I601&lt;=40),1, IF(AND(I601&gt;40,I601&lt;=60),2,IF(AND(I601&gt;60,I601&lt;=80),3, IF(AND(I601&gt;80,I601&lt;=100),4,”5”)))))</f>
        <v>1</v>
      </c>
    </row>
    <row r="602" spans="1:10" x14ac:dyDescent="0.3">
      <c r="A602" t="str">
        <f t="shared" si="12"/>
        <v>59036_176</v>
      </c>
      <c r="B602">
        <f>VLOOKUP(C602,[1]lookuptable!$A$1:$C$7,2,0)</f>
        <v>59036</v>
      </c>
      <c r="C602" t="s">
        <v>12</v>
      </c>
      <c r="D602" s="1">
        <v>176</v>
      </c>
      <c r="E602">
        <v>0</v>
      </c>
      <c r="F602">
        <v>131</v>
      </c>
      <c r="G602">
        <v>131</v>
      </c>
      <c r="H602">
        <v>471</v>
      </c>
      <c r="I602" s="2">
        <v>27.81316348</v>
      </c>
      <c r="J602" cm="1">
        <f t="array" ref="J602">IF(AND(I602&gt;=0,I602&lt;=20),0,IF(AND(I602&gt;20,I602&lt;=40),1, IF(AND(I602&gt;40,I602&lt;=60),2,IF(AND(I602&gt;60,I602&lt;=80),3, IF(AND(I602&gt;80,I602&lt;=100),4,”5”)))))</f>
        <v>1</v>
      </c>
    </row>
    <row r="603" spans="1:10" x14ac:dyDescent="0.3">
      <c r="A603" t="str">
        <f t="shared" si="12"/>
        <v>59036_177</v>
      </c>
      <c r="B603">
        <f>VLOOKUP(C603,[1]lookuptable!$A$1:$C$7,2,0)</f>
        <v>59036</v>
      </c>
      <c r="C603" t="s">
        <v>12</v>
      </c>
      <c r="D603" s="1">
        <v>177</v>
      </c>
      <c r="E603">
        <v>2</v>
      </c>
      <c r="F603">
        <v>116</v>
      </c>
      <c r="G603">
        <v>118</v>
      </c>
      <c r="H603">
        <v>479</v>
      </c>
      <c r="I603" s="2">
        <v>24.63465553</v>
      </c>
      <c r="J603" cm="1">
        <f t="array" ref="J603">IF(AND(I603&gt;=0,I603&lt;=20),0,IF(AND(I603&gt;20,I603&lt;=40),1, IF(AND(I603&gt;40,I603&lt;=60),2,IF(AND(I603&gt;60,I603&lt;=80),3, IF(AND(I603&gt;80,I603&lt;=100),4,”5”)))))</f>
        <v>1</v>
      </c>
    </row>
    <row r="604" spans="1:10" x14ac:dyDescent="0.3">
      <c r="A604" t="str">
        <f t="shared" si="12"/>
        <v>59036_178</v>
      </c>
      <c r="B604">
        <f>VLOOKUP(C604,[1]lookuptable!$A$1:$C$7,2,0)</f>
        <v>59036</v>
      </c>
      <c r="C604" t="s">
        <v>12</v>
      </c>
      <c r="D604" s="1">
        <v>178</v>
      </c>
      <c r="E604">
        <v>0</v>
      </c>
      <c r="F604">
        <v>125</v>
      </c>
      <c r="G604">
        <v>125</v>
      </c>
      <c r="H604">
        <v>478</v>
      </c>
      <c r="I604" s="2">
        <v>26.150627620000002</v>
      </c>
      <c r="J604" cm="1">
        <f t="array" ref="J604">IF(AND(I604&gt;=0,I604&lt;=20),0,IF(AND(I604&gt;20,I604&lt;=40),1, IF(AND(I604&gt;40,I604&lt;=60),2,IF(AND(I604&gt;60,I604&lt;=80),3, IF(AND(I604&gt;80,I604&lt;=100),4,”5”)))))</f>
        <v>1</v>
      </c>
    </row>
    <row r="605" spans="1:10" x14ac:dyDescent="0.3">
      <c r="A605" t="str">
        <f t="shared" si="12"/>
        <v>59036_179</v>
      </c>
      <c r="B605">
        <f>VLOOKUP(C605,[1]lookuptable!$A$1:$C$7,2,0)</f>
        <v>59036</v>
      </c>
      <c r="C605" t="s">
        <v>12</v>
      </c>
      <c r="D605" s="1">
        <v>179</v>
      </c>
      <c r="E605">
        <v>0</v>
      </c>
      <c r="F605">
        <v>96</v>
      </c>
      <c r="G605">
        <v>96</v>
      </c>
      <c r="H605">
        <v>396</v>
      </c>
      <c r="I605" s="2">
        <v>24.242424239999998</v>
      </c>
      <c r="J605" cm="1">
        <f t="array" ref="J605">IF(AND(I605&gt;=0,I605&lt;=20),0,IF(AND(I605&gt;20,I605&lt;=40),1, IF(AND(I605&gt;40,I605&lt;=60),2,IF(AND(I605&gt;60,I605&lt;=80),3, IF(AND(I605&gt;80,I605&lt;=100),4,”5”)))))</f>
        <v>1</v>
      </c>
    </row>
    <row r="606" spans="1:10" x14ac:dyDescent="0.3">
      <c r="A606" t="str">
        <f t="shared" si="12"/>
        <v>59036_180</v>
      </c>
      <c r="B606">
        <f>VLOOKUP(C606,[1]lookuptable!$A$1:$C$7,2,0)</f>
        <v>59036</v>
      </c>
      <c r="C606" t="s">
        <v>12</v>
      </c>
      <c r="D606" s="1">
        <v>180</v>
      </c>
      <c r="E606">
        <v>1</v>
      </c>
      <c r="F606">
        <v>104</v>
      </c>
      <c r="G606">
        <v>105</v>
      </c>
      <c r="H606">
        <v>385</v>
      </c>
      <c r="I606" s="2">
        <v>27.272727270000001</v>
      </c>
      <c r="J606" cm="1">
        <f t="array" ref="J606">IF(AND(I606&gt;=0,I606&lt;=20),0,IF(AND(I606&gt;20,I606&lt;=40),1, IF(AND(I606&gt;40,I606&lt;=60),2,IF(AND(I606&gt;60,I606&lt;=80),3, IF(AND(I606&gt;80,I606&lt;=100),4,”5”)))))</f>
        <v>1</v>
      </c>
    </row>
    <row r="607" spans="1:10" x14ac:dyDescent="0.3">
      <c r="A607" t="str">
        <f t="shared" si="12"/>
        <v>59036_181</v>
      </c>
      <c r="B607">
        <f>VLOOKUP(C607,[1]lookuptable!$A$1:$C$7,2,0)</f>
        <v>59036</v>
      </c>
      <c r="C607" t="s">
        <v>12</v>
      </c>
      <c r="D607" s="1">
        <v>181</v>
      </c>
      <c r="E607">
        <v>2</v>
      </c>
      <c r="F607">
        <v>146</v>
      </c>
      <c r="G607">
        <v>148</v>
      </c>
      <c r="H607">
        <v>471</v>
      </c>
      <c r="I607" s="2">
        <v>31.422505309999998</v>
      </c>
      <c r="J607" cm="1">
        <f t="array" ref="J607">IF(AND(I607&gt;=0,I607&lt;=20),0,IF(AND(I607&gt;20,I607&lt;=40),1, IF(AND(I607&gt;40,I607&lt;=60),2,IF(AND(I607&gt;60,I607&lt;=80),3, IF(AND(I607&gt;80,I607&lt;=100),4,”5”)))))</f>
        <v>1</v>
      </c>
    </row>
    <row r="608" spans="1:10" x14ac:dyDescent="0.3">
      <c r="A608" t="str">
        <f t="shared" si="12"/>
        <v>59036_182</v>
      </c>
      <c r="B608">
        <f>VLOOKUP(C608,[1]lookuptable!$A$1:$C$7,2,0)</f>
        <v>59036</v>
      </c>
      <c r="C608" t="s">
        <v>12</v>
      </c>
      <c r="D608" s="1">
        <v>182</v>
      </c>
      <c r="E608">
        <v>0</v>
      </c>
      <c r="F608">
        <v>143</v>
      </c>
      <c r="G608">
        <v>143</v>
      </c>
      <c r="H608">
        <v>465</v>
      </c>
      <c r="I608" s="2">
        <v>30.752688169999999</v>
      </c>
      <c r="J608" cm="1">
        <f t="array" ref="J608">IF(AND(I608&gt;=0,I608&lt;=20),0,IF(AND(I608&gt;20,I608&lt;=40),1, IF(AND(I608&gt;40,I608&lt;=60),2,IF(AND(I608&gt;60,I608&lt;=80),3, IF(AND(I608&gt;80,I608&lt;=100),4,”5”)))))</f>
        <v>1</v>
      </c>
    </row>
    <row r="609" spans="1:10" x14ac:dyDescent="0.3">
      <c r="A609" t="str">
        <f t="shared" si="12"/>
        <v>59036_183</v>
      </c>
      <c r="B609">
        <f>VLOOKUP(C609,[1]lookuptable!$A$1:$C$7,2,0)</f>
        <v>59036</v>
      </c>
      <c r="C609" t="s">
        <v>12</v>
      </c>
      <c r="D609" s="1">
        <v>183</v>
      </c>
      <c r="E609">
        <v>0</v>
      </c>
      <c r="F609">
        <v>106</v>
      </c>
      <c r="G609">
        <v>106</v>
      </c>
      <c r="H609">
        <v>348</v>
      </c>
      <c r="I609" s="2">
        <v>30.459770110000001</v>
      </c>
      <c r="J609" cm="1">
        <f t="array" ref="J609">IF(AND(I609&gt;=0,I609&lt;=20),0,IF(AND(I609&gt;20,I609&lt;=40),1, IF(AND(I609&gt;40,I609&lt;=60),2,IF(AND(I609&gt;60,I609&lt;=80),3, IF(AND(I609&gt;80,I609&lt;=100),4,”5”)))))</f>
        <v>1</v>
      </c>
    </row>
    <row r="610" spans="1:10" x14ac:dyDescent="0.3">
      <c r="A610" t="str">
        <f t="shared" si="12"/>
        <v>59036_500</v>
      </c>
      <c r="B610">
        <f>VLOOKUP(C610,[1]lookuptable!$A$1:$C$7,2,0)</f>
        <v>59036</v>
      </c>
      <c r="C610" t="s">
        <v>12</v>
      </c>
      <c r="D610" s="1">
        <v>500</v>
      </c>
      <c r="E610">
        <v>11</v>
      </c>
      <c r="F610">
        <v>0</v>
      </c>
      <c r="G610">
        <v>0</v>
      </c>
      <c r="H610">
        <v>56</v>
      </c>
      <c r="I610" s="2">
        <f>((E610+G610)/H610)*100</f>
        <v>19.642857142857142</v>
      </c>
      <c r="J610" cm="1">
        <f t="array" ref="J610">IF(AND(I610&gt;=0,I610&lt;=20),0,IF(AND(I610&gt;20,I610&lt;=40),1, IF(AND(I610&gt;40,I610&lt;=60),2,IF(AND(I610&gt;60,I610&lt;=80),3, IF(AND(I610&gt;80,I610&lt;=100),4,”5”)))))</f>
        <v>0</v>
      </c>
    </row>
    <row r="611" spans="1:10" x14ac:dyDescent="0.3">
      <c r="A611" t="str">
        <f t="shared" si="12"/>
        <v>59036_501</v>
      </c>
      <c r="B611">
        <f>VLOOKUP(C611,[1]lookuptable!$A$1:$C$7,2,0)</f>
        <v>59036</v>
      </c>
      <c r="C611" t="s">
        <v>12</v>
      </c>
      <c r="D611" s="1">
        <v>501</v>
      </c>
      <c r="E611">
        <v>24</v>
      </c>
      <c r="F611">
        <v>0</v>
      </c>
      <c r="G611">
        <v>0</v>
      </c>
      <c r="H611">
        <v>48</v>
      </c>
      <c r="I611" s="2">
        <f t="shared" ref="I611:I613" si="13">((E611+G611)/H611)*100</f>
        <v>50</v>
      </c>
      <c r="J611" cm="1">
        <f t="array" ref="J611">IF(AND(I611&gt;=0,I611&lt;=20),0,IF(AND(I611&gt;20,I611&lt;=40),1, IF(AND(I611&gt;40,I611&lt;=60),2,IF(AND(I611&gt;60,I611&lt;=80),3, IF(AND(I611&gt;80,I611&lt;=100),4,”5”)))))</f>
        <v>2</v>
      </c>
    </row>
    <row r="612" spans="1:10" x14ac:dyDescent="0.3">
      <c r="A612" t="str">
        <f t="shared" si="12"/>
        <v>59036_502</v>
      </c>
      <c r="B612">
        <f>VLOOKUP(C612,[1]lookuptable!$A$1:$C$7,2,0)</f>
        <v>59036</v>
      </c>
      <c r="C612" t="s">
        <v>12</v>
      </c>
      <c r="D612" s="1">
        <v>502</v>
      </c>
      <c r="E612">
        <v>26</v>
      </c>
      <c r="F612">
        <v>0</v>
      </c>
      <c r="G612">
        <v>0</v>
      </c>
      <c r="H612">
        <v>55</v>
      </c>
      <c r="I612" s="2">
        <f t="shared" si="13"/>
        <v>47.272727272727273</v>
      </c>
      <c r="J612" cm="1">
        <f t="array" ref="J612">IF(AND(I612&gt;=0,I612&lt;=20),0,IF(AND(I612&gt;20,I612&lt;=40),1, IF(AND(I612&gt;40,I612&lt;=60),2,IF(AND(I612&gt;60,I612&lt;=80),3, IF(AND(I612&gt;80,I612&lt;=100),4,”5”)))))</f>
        <v>2</v>
      </c>
    </row>
    <row r="613" spans="1:10" x14ac:dyDescent="0.3">
      <c r="A613" t="str">
        <f t="shared" si="12"/>
        <v>59036_503</v>
      </c>
      <c r="B613">
        <f>VLOOKUP(C613,[1]lookuptable!$A$1:$C$7,2,0)</f>
        <v>59036</v>
      </c>
      <c r="C613" t="s">
        <v>12</v>
      </c>
      <c r="D613" s="1">
        <v>503</v>
      </c>
      <c r="E613">
        <v>50</v>
      </c>
      <c r="F613">
        <v>0</v>
      </c>
      <c r="G613">
        <v>0</v>
      </c>
      <c r="H613">
        <v>53</v>
      </c>
      <c r="I613" s="2">
        <f t="shared" si="13"/>
        <v>94.339622641509436</v>
      </c>
      <c r="J613" cm="1">
        <f t="array" ref="J613">IF(AND(I613&gt;=0,I613&lt;=20),0,IF(AND(I613&gt;20,I613&lt;=40),1, IF(AND(I613&gt;40,I613&lt;=60),2,IF(AND(I613&gt;60,I613&lt;=80),3, IF(AND(I613&gt;80,I613&lt;=100),4,”5”)))))</f>
        <v>4</v>
      </c>
    </row>
    <row r="614" spans="1:10" x14ac:dyDescent="0.3">
      <c r="A614" t="str">
        <f t="shared" si="12"/>
        <v>59038_1</v>
      </c>
      <c r="B614">
        <f>VLOOKUP(C614,[1]lookuptable!$A$1:$C$7,2,0)</f>
        <v>59038</v>
      </c>
      <c r="C614" t="s">
        <v>15</v>
      </c>
      <c r="D614" s="1">
        <v>1</v>
      </c>
      <c r="E614">
        <v>0</v>
      </c>
      <c r="F614">
        <v>171</v>
      </c>
      <c r="G614">
        <v>171</v>
      </c>
      <c r="H614">
        <v>471</v>
      </c>
      <c r="I614" s="2">
        <v>36.305732480000003</v>
      </c>
      <c r="J614" cm="1">
        <f t="array" ref="J614">IF(AND(I614&gt;=0,I614&lt;=20),0,IF(AND(I614&gt;20,I614&lt;=40),1, IF(AND(I614&gt;40,I614&lt;=60),2,IF(AND(I614&gt;60,I614&lt;=80),3, IF(AND(I614&gt;80,I614&lt;=100),4,”5”)))))</f>
        <v>1</v>
      </c>
    </row>
    <row r="615" spans="1:10" x14ac:dyDescent="0.3">
      <c r="A615" t="str">
        <f t="shared" si="12"/>
        <v>59038_2</v>
      </c>
      <c r="B615">
        <f>VLOOKUP(C615,[1]lookuptable!$A$1:$C$7,2,0)</f>
        <v>59038</v>
      </c>
      <c r="C615" t="s">
        <v>15</v>
      </c>
      <c r="D615" s="1">
        <v>2</v>
      </c>
      <c r="E615">
        <v>0</v>
      </c>
      <c r="F615">
        <v>193</v>
      </c>
      <c r="G615">
        <v>193</v>
      </c>
      <c r="H615">
        <v>461</v>
      </c>
      <c r="I615" s="2">
        <v>41.865509760000002</v>
      </c>
      <c r="J615" cm="1">
        <f t="array" ref="J615">IF(AND(I615&gt;=0,I615&lt;=20),0,IF(AND(I615&gt;20,I615&lt;=40),1, IF(AND(I615&gt;40,I615&lt;=60),2,IF(AND(I615&gt;60,I615&lt;=80),3, IF(AND(I615&gt;80,I615&lt;=100),4,”5”)))))</f>
        <v>2</v>
      </c>
    </row>
    <row r="616" spans="1:10" x14ac:dyDescent="0.3">
      <c r="A616" t="str">
        <f t="shared" si="12"/>
        <v>59038_3</v>
      </c>
      <c r="B616">
        <f>VLOOKUP(C616,[1]lookuptable!$A$1:$C$7,2,0)</f>
        <v>59038</v>
      </c>
      <c r="C616" t="s">
        <v>15</v>
      </c>
      <c r="D616" s="1">
        <v>3</v>
      </c>
      <c r="E616">
        <v>0</v>
      </c>
      <c r="F616">
        <v>151</v>
      </c>
      <c r="G616">
        <v>151</v>
      </c>
      <c r="H616">
        <v>405</v>
      </c>
      <c r="I616" s="2">
        <v>37.283950619999999</v>
      </c>
      <c r="J616" cm="1">
        <f t="array" ref="J616">IF(AND(I616&gt;=0,I616&lt;=20),0,IF(AND(I616&gt;20,I616&lt;=40),1, IF(AND(I616&gt;40,I616&lt;=60),2,IF(AND(I616&gt;60,I616&lt;=80),3, IF(AND(I616&gt;80,I616&lt;=100),4,”5”)))))</f>
        <v>1</v>
      </c>
    </row>
    <row r="617" spans="1:10" x14ac:dyDescent="0.3">
      <c r="A617" t="str">
        <f t="shared" si="12"/>
        <v>59038_4</v>
      </c>
      <c r="B617">
        <f>VLOOKUP(C617,[1]lookuptable!$A$1:$C$7,2,0)</f>
        <v>59038</v>
      </c>
      <c r="C617" t="s">
        <v>15</v>
      </c>
      <c r="D617" s="1">
        <v>4</v>
      </c>
      <c r="E617">
        <v>2</v>
      </c>
      <c r="F617">
        <v>157</v>
      </c>
      <c r="G617">
        <v>159</v>
      </c>
      <c r="H617">
        <v>417</v>
      </c>
      <c r="I617" s="2">
        <v>38.129496400000001</v>
      </c>
      <c r="J617" cm="1">
        <f t="array" ref="J617">IF(AND(I617&gt;=0,I617&lt;=20),0,IF(AND(I617&gt;20,I617&lt;=40),1, IF(AND(I617&gt;40,I617&lt;=60),2,IF(AND(I617&gt;60,I617&lt;=80),3, IF(AND(I617&gt;80,I617&lt;=100),4,”5”)))))</f>
        <v>1</v>
      </c>
    </row>
    <row r="618" spans="1:10" x14ac:dyDescent="0.3">
      <c r="A618" t="str">
        <f t="shared" si="12"/>
        <v>59038_5</v>
      </c>
      <c r="B618">
        <f>VLOOKUP(C618,[1]lookuptable!$A$1:$C$7,2,0)</f>
        <v>59038</v>
      </c>
      <c r="C618" t="s">
        <v>15</v>
      </c>
      <c r="D618" s="1">
        <v>5</v>
      </c>
      <c r="E618">
        <v>0</v>
      </c>
      <c r="F618">
        <v>171</v>
      </c>
      <c r="G618">
        <v>171</v>
      </c>
      <c r="H618">
        <v>419</v>
      </c>
      <c r="I618" s="2">
        <v>40.811455850000002</v>
      </c>
      <c r="J618" cm="1">
        <f t="array" ref="J618">IF(AND(I618&gt;=0,I618&lt;=20),0,IF(AND(I618&gt;20,I618&lt;=40),1, IF(AND(I618&gt;40,I618&lt;=60),2,IF(AND(I618&gt;60,I618&lt;=80),3, IF(AND(I618&gt;80,I618&lt;=100),4,”5”)))))</f>
        <v>2</v>
      </c>
    </row>
    <row r="619" spans="1:10" x14ac:dyDescent="0.3">
      <c r="A619" t="str">
        <f t="shared" si="12"/>
        <v>59038_6</v>
      </c>
      <c r="B619">
        <f>VLOOKUP(C619,[1]lookuptable!$A$1:$C$7,2,0)</f>
        <v>59038</v>
      </c>
      <c r="C619" t="s">
        <v>15</v>
      </c>
      <c r="D619" s="1">
        <v>6</v>
      </c>
      <c r="E619">
        <v>0</v>
      </c>
      <c r="F619">
        <v>167</v>
      </c>
      <c r="G619">
        <v>167</v>
      </c>
      <c r="H619">
        <v>385</v>
      </c>
      <c r="I619" s="2">
        <v>43.376623379999998</v>
      </c>
      <c r="J619" cm="1">
        <f t="array" ref="J619">IF(AND(I619&gt;=0,I619&lt;=20),0,IF(AND(I619&gt;20,I619&lt;=40),1, IF(AND(I619&gt;40,I619&lt;=60),2,IF(AND(I619&gt;60,I619&lt;=80),3, IF(AND(I619&gt;80,I619&lt;=100),4,”5”)))))</f>
        <v>2</v>
      </c>
    </row>
    <row r="620" spans="1:10" x14ac:dyDescent="0.3">
      <c r="A620" t="str">
        <f t="shared" si="12"/>
        <v>59038_7</v>
      </c>
      <c r="B620">
        <f>VLOOKUP(C620,[1]lookuptable!$A$1:$C$7,2,0)</f>
        <v>59038</v>
      </c>
      <c r="C620" t="s">
        <v>15</v>
      </c>
      <c r="D620" s="1">
        <v>7</v>
      </c>
      <c r="E620">
        <v>0</v>
      </c>
      <c r="F620">
        <v>169</v>
      </c>
      <c r="G620">
        <v>169</v>
      </c>
      <c r="H620">
        <v>440</v>
      </c>
      <c r="I620" s="2">
        <v>38.409090910000003</v>
      </c>
      <c r="J620" cm="1">
        <f t="array" ref="J620">IF(AND(I620&gt;=0,I620&lt;=20),0,IF(AND(I620&gt;20,I620&lt;=40),1, IF(AND(I620&gt;40,I620&lt;=60),2,IF(AND(I620&gt;60,I620&lt;=80),3, IF(AND(I620&gt;80,I620&lt;=100),4,”5”)))))</f>
        <v>1</v>
      </c>
    </row>
    <row r="621" spans="1:10" x14ac:dyDescent="0.3">
      <c r="A621" t="str">
        <f t="shared" si="12"/>
        <v>59038_8</v>
      </c>
      <c r="B621">
        <f>VLOOKUP(C621,[1]lookuptable!$A$1:$C$7,2,0)</f>
        <v>59038</v>
      </c>
      <c r="C621" t="s">
        <v>15</v>
      </c>
      <c r="D621" s="1">
        <v>8</v>
      </c>
      <c r="E621">
        <v>2</v>
      </c>
      <c r="F621">
        <v>171</v>
      </c>
      <c r="G621">
        <v>173</v>
      </c>
      <c r="H621">
        <v>516</v>
      </c>
      <c r="I621" s="2">
        <v>33.527131779999998</v>
      </c>
      <c r="J621" cm="1">
        <f t="array" ref="J621">IF(AND(I621&gt;=0,I621&lt;=20),0,IF(AND(I621&gt;20,I621&lt;=40),1, IF(AND(I621&gt;40,I621&lt;=60),2,IF(AND(I621&gt;60,I621&lt;=80),3, IF(AND(I621&gt;80,I621&lt;=100),4,”5”)))))</f>
        <v>1</v>
      </c>
    </row>
    <row r="622" spans="1:10" x14ac:dyDescent="0.3">
      <c r="A622" t="str">
        <f t="shared" si="12"/>
        <v>59038_9</v>
      </c>
      <c r="B622">
        <f>VLOOKUP(C622,[1]lookuptable!$A$1:$C$7,2,0)</f>
        <v>59038</v>
      </c>
      <c r="C622" t="s">
        <v>15</v>
      </c>
      <c r="D622" s="1">
        <v>9</v>
      </c>
      <c r="E622">
        <v>0</v>
      </c>
      <c r="F622">
        <v>255</v>
      </c>
      <c r="G622">
        <v>255</v>
      </c>
      <c r="H622">
        <v>522</v>
      </c>
      <c r="I622" s="2">
        <v>48.850574709999997</v>
      </c>
      <c r="J622" cm="1">
        <f t="array" ref="J622">IF(AND(I622&gt;=0,I622&lt;=20),0,IF(AND(I622&gt;20,I622&lt;=40),1, IF(AND(I622&gt;40,I622&lt;=60),2,IF(AND(I622&gt;60,I622&lt;=80),3, IF(AND(I622&gt;80,I622&lt;=100),4,”5”)))))</f>
        <v>2</v>
      </c>
    </row>
    <row r="623" spans="1:10" x14ac:dyDescent="0.3">
      <c r="A623" t="str">
        <f t="shared" si="12"/>
        <v>59038_10</v>
      </c>
      <c r="B623">
        <f>VLOOKUP(C623,[1]lookuptable!$A$1:$C$7,2,0)</f>
        <v>59038</v>
      </c>
      <c r="C623" t="s">
        <v>15</v>
      </c>
      <c r="D623" s="1">
        <v>10</v>
      </c>
      <c r="E623">
        <v>1</v>
      </c>
      <c r="F623">
        <v>209</v>
      </c>
      <c r="G623">
        <v>210</v>
      </c>
      <c r="H623">
        <v>460</v>
      </c>
      <c r="I623" s="2">
        <v>45.652173910000002</v>
      </c>
      <c r="J623" cm="1">
        <f t="array" ref="J623">IF(AND(I623&gt;=0,I623&lt;=20),0,IF(AND(I623&gt;20,I623&lt;=40),1, IF(AND(I623&gt;40,I623&lt;=60),2,IF(AND(I623&gt;60,I623&lt;=80),3, IF(AND(I623&gt;80,I623&lt;=100),4,”5”)))))</f>
        <v>2</v>
      </c>
    </row>
    <row r="624" spans="1:10" x14ac:dyDescent="0.3">
      <c r="A624" t="str">
        <f t="shared" si="12"/>
        <v>59038_11</v>
      </c>
      <c r="B624">
        <f>VLOOKUP(C624,[1]lookuptable!$A$1:$C$7,2,0)</f>
        <v>59038</v>
      </c>
      <c r="C624" t="s">
        <v>15</v>
      </c>
      <c r="D624" s="1">
        <v>11</v>
      </c>
      <c r="E624">
        <v>3</v>
      </c>
      <c r="F624">
        <v>185</v>
      </c>
      <c r="G624">
        <v>188</v>
      </c>
      <c r="H624">
        <v>556</v>
      </c>
      <c r="I624" s="2">
        <v>33.812949639999999</v>
      </c>
      <c r="J624" cm="1">
        <f t="array" ref="J624">IF(AND(I624&gt;=0,I624&lt;=20),0,IF(AND(I624&gt;20,I624&lt;=40),1, IF(AND(I624&gt;40,I624&lt;=60),2,IF(AND(I624&gt;60,I624&lt;=80),3, IF(AND(I624&gt;80,I624&lt;=100),4,”5”)))))</f>
        <v>1</v>
      </c>
    </row>
    <row r="625" spans="1:10" x14ac:dyDescent="0.3">
      <c r="A625" t="str">
        <f t="shared" si="12"/>
        <v>59038_12</v>
      </c>
      <c r="B625">
        <f>VLOOKUP(C625,[1]lookuptable!$A$1:$C$7,2,0)</f>
        <v>59038</v>
      </c>
      <c r="C625" t="s">
        <v>15</v>
      </c>
      <c r="D625" s="1">
        <v>12</v>
      </c>
      <c r="E625">
        <v>0</v>
      </c>
      <c r="F625">
        <v>178</v>
      </c>
      <c r="G625">
        <v>178</v>
      </c>
      <c r="H625">
        <v>421</v>
      </c>
      <c r="I625" s="2">
        <v>42.280285040000003</v>
      </c>
      <c r="J625" cm="1">
        <f t="array" ref="J625">IF(AND(I625&gt;=0,I625&lt;=20),0,IF(AND(I625&gt;20,I625&lt;=40),1, IF(AND(I625&gt;40,I625&lt;=60),2,IF(AND(I625&gt;60,I625&lt;=80),3, IF(AND(I625&gt;80,I625&lt;=100),4,”5”)))))</f>
        <v>2</v>
      </c>
    </row>
    <row r="626" spans="1:10" x14ac:dyDescent="0.3">
      <c r="A626" t="str">
        <f t="shared" si="12"/>
        <v>59038_13</v>
      </c>
      <c r="B626">
        <f>VLOOKUP(C626,[1]lookuptable!$A$1:$C$7,2,0)</f>
        <v>59038</v>
      </c>
      <c r="C626" t="s">
        <v>15</v>
      </c>
      <c r="D626" s="1">
        <v>13</v>
      </c>
      <c r="E626">
        <v>0</v>
      </c>
      <c r="F626">
        <v>183</v>
      </c>
      <c r="G626">
        <v>183</v>
      </c>
      <c r="H626">
        <v>477</v>
      </c>
      <c r="I626" s="2">
        <v>38.36477987</v>
      </c>
      <c r="J626" cm="1">
        <f t="array" ref="J626">IF(AND(I626&gt;=0,I626&lt;=20),0,IF(AND(I626&gt;20,I626&lt;=40),1, IF(AND(I626&gt;40,I626&lt;=60),2,IF(AND(I626&gt;60,I626&lt;=80),3, IF(AND(I626&gt;80,I626&lt;=100),4,”5”)))))</f>
        <v>1</v>
      </c>
    </row>
    <row r="627" spans="1:10" x14ac:dyDescent="0.3">
      <c r="A627" t="str">
        <f t="shared" si="12"/>
        <v>59038_14</v>
      </c>
      <c r="B627">
        <f>VLOOKUP(C627,[1]lookuptable!$A$1:$C$7,2,0)</f>
        <v>59038</v>
      </c>
      <c r="C627" t="s">
        <v>15</v>
      </c>
      <c r="D627" s="1">
        <v>14</v>
      </c>
      <c r="E627">
        <v>2</v>
      </c>
      <c r="F627">
        <v>170</v>
      </c>
      <c r="G627">
        <v>172</v>
      </c>
      <c r="H627">
        <v>502</v>
      </c>
      <c r="I627" s="2">
        <v>34.262948209999998</v>
      </c>
      <c r="J627" cm="1">
        <f t="array" ref="J627">IF(AND(I627&gt;=0,I627&lt;=20),0,IF(AND(I627&gt;20,I627&lt;=40),1, IF(AND(I627&gt;40,I627&lt;=60),2,IF(AND(I627&gt;60,I627&lt;=80),3, IF(AND(I627&gt;80,I627&lt;=100),4,”5”)))))</f>
        <v>1</v>
      </c>
    </row>
    <row r="628" spans="1:10" x14ac:dyDescent="0.3">
      <c r="A628" t="str">
        <f t="shared" si="12"/>
        <v>59038_15</v>
      </c>
      <c r="B628">
        <f>VLOOKUP(C628,[1]lookuptable!$A$1:$C$7,2,0)</f>
        <v>59038</v>
      </c>
      <c r="C628" t="s">
        <v>15</v>
      </c>
      <c r="D628" s="1">
        <v>15</v>
      </c>
      <c r="E628">
        <v>0</v>
      </c>
      <c r="F628">
        <v>146</v>
      </c>
      <c r="G628">
        <v>146</v>
      </c>
      <c r="H628">
        <v>364</v>
      </c>
      <c r="I628" s="2">
        <v>40.109890110000002</v>
      </c>
      <c r="J628" cm="1">
        <f t="array" ref="J628">IF(AND(I628&gt;=0,I628&lt;=20),0,IF(AND(I628&gt;20,I628&lt;=40),1, IF(AND(I628&gt;40,I628&lt;=60),2,IF(AND(I628&gt;60,I628&lt;=80),3, IF(AND(I628&gt;80,I628&lt;=100),4,”5”)))))</f>
        <v>2</v>
      </c>
    </row>
    <row r="629" spans="1:10" x14ac:dyDescent="0.3">
      <c r="A629" t="str">
        <f t="shared" si="12"/>
        <v>59038_16</v>
      </c>
      <c r="B629">
        <f>VLOOKUP(C629,[1]lookuptable!$A$1:$C$7,2,0)</f>
        <v>59038</v>
      </c>
      <c r="C629" t="s">
        <v>15</v>
      </c>
      <c r="D629" s="1">
        <v>16</v>
      </c>
      <c r="E629">
        <v>0</v>
      </c>
      <c r="F629">
        <v>138</v>
      </c>
      <c r="G629">
        <v>138</v>
      </c>
      <c r="H629">
        <v>432</v>
      </c>
      <c r="I629" s="2">
        <v>31.944444440000002</v>
      </c>
      <c r="J629" cm="1">
        <f t="array" ref="J629">IF(AND(I629&gt;=0,I629&lt;=20),0,IF(AND(I629&gt;20,I629&lt;=40),1, IF(AND(I629&gt;40,I629&lt;=60),2,IF(AND(I629&gt;60,I629&lt;=80),3, IF(AND(I629&gt;80,I629&lt;=100),4,”5”)))))</f>
        <v>1</v>
      </c>
    </row>
    <row r="630" spans="1:10" x14ac:dyDescent="0.3">
      <c r="A630" t="str">
        <f t="shared" si="12"/>
        <v>59038_17</v>
      </c>
      <c r="B630">
        <f>VLOOKUP(C630,[1]lookuptable!$A$1:$C$7,2,0)</f>
        <v>59038</v>
      </c>
      <c r="C630" t="s">
        <v>15</v>
      </c>
      <c r="D630" s="1">
        <v>17</v>
      </c>
      <c r="E630">
        <v>1</v>
      </c>
      <c r="F630">
        <v>146</v>
      </c>
      <c r="G630">
        <v>147</v>
      </c>
      <c r="H630">
        <v>364</v>
      </c>
      <c r="I630" s="2">
        <v>40.38461538</v>
      </c>
      <c r="J630" cm="1">
        <f t="array" ref="J630">IF(AND(I630&gt;=0,I630&lt;=20),0,IF(AND(I630&gt;20,I630&lt;=40),1, IF(AND(I630&gt;40,I630&lt;=60),2,IF(AND(I630&gt;60,I630&lt;=80),3, IF(AND(I630&gt;80,I630&lt;=100),4,”5”)))))</f>
        <v>2</v>
      </c>
    </row>
    <row r="631" spans="1:10" x14ac:dyDescent="0.3">
      <c r="A631" t="str">
        <f t="shared" si="12"/>
        <v>59038_18</v>
      </c>
      <c r="B631">
        <f>VLOOKUP(C631,[1]lookuptable!$A$1:$C$7,2,0)</f>
        <v>59038</v>
      </c>
      <c r="C631" t="s">
        <v>15</v>
      </c>
      <c r="D631" s="1">
        <v>18</v>
      </c>
      <c r="E631">
        <v>0</v>
      </c>
      <c r="F631">
        <v>150</v>
      </c>
      <c r="G631">
        <v>150</v>
      </c>
      <c r="H631">
        <v>407</v>
      </c>
      <c r="I631" s="2">
        <v>36.855036859999998</v>
      </c>
      <c r="J631" cm="1">
        <f t="array" ref="J631">IF(AND(I631&gt;=0,I631&lt;=20),0,IF(AND(I631&gt;20,I631&lt;=40),1, IF(AND(I631&gt;40,I631&lt;=60),2,IF(AND(I631&gt;60,I631&lt;=80),3, IF(AND(I631&gt;80,I631&lt;=100),4,”5”)))))</f>
        <v>1</v>
      </c>
    </row>
    <row r="632" spans="1:10" x14ac:dyDescent="0.3">
      <c r="A632" t="str">
        <f t="shared" si="12"/>
        <v>59038_19</v>
      </c>
      <c r="B632">
        <f>VLOOKUP(C632,[1]lookuptable!$A$1:$C$7,2,0)</f>
        <v>59038</v>
      </c>
      <c r="C632" t="s">
        <v>15</v>
      </c>
      <c r="D632" s="1">
        <v>19</v>
      </c>
      <c r="E632">
        <v>1</v>
      </c>
      <c r="F632">
        <v>147</v>
      </c>
      <c r="G632">
        <v>148</v>
      </c>
      <c r="H632">
        <v>452</v>
      </c>
      <c r="I632" s="2">
        <v>32.743362830000002</v>
      </c>
      <c r="J632" cm="1">
        <f t="array" ref="J632">IF(AND(I632&gt;=0,I632&lt;=20),0,IF(AND(I632&gt;20,I632&lt;=40),1, IF(AND(I632&gt;40,I632&lt;=60),2,IF(AND(I632&gt;60,I632&lt;=80),3, IF(AND(I632&gt;80,I632&lt;=100),4,”5”)))))</f>
        <v>1</v>
      </c>
    </row>
    <row r="633" spans="1:10" x14ac:dyDescent="0.3">
      <c r="A633" t="str">
        <f t="shared" si="12"/>
        <v>59038_20</v>
      </c>
      <c r="B633">
        <f>VLOOKUP(C633,[1]lookuptable!$A$1:$C$7,2,0)</f>
        <v>59038</v>
      </c>
      <c r="C633" t="s">
        <v>15</v>
      </c>
      <c r="D633" s="1">
        <v>20</v>
      </c>
      <c r="E633">
        <v>21</v>
      </c>
      <c r="F633">
        <v>0</v>
      </c>
      <c r="G633">
        <v>0</v>
      </c>
      <c r="H633">
        <v>400</v>
      </c>
      <c r="I633" s="2">
        <f>((E633+G633)/H633)*100</f>
        <v>5.25</v>
      </c>
      <c r="J633" cm="1">
        <f t="array" ref="J633">IF(AND(I633&gt;=0,I633&lt;=20),0,IF(AND(I633&gt;20,I633&lt;=40),1, IF(AND(I633&gt;40,I633&lt;=60),2,IF(AND(I633&gt;60,I633&lt;=80),3, IF(AND(I633&gt;80,I633&lt;=100),4,”5”)))))</f>
        <v>0</v>
      </c>
    </row>
    <row r="634" spans="1:10" x14ac:dyDescent="0.3">
      <c r="A634" t="str">
        <f t="shared" si="12"/>
        <v>59038_21</v>
      </c>
      <c r="B634">
        <f>VLOOKUP(C634,[1]lookuptable!$A$1:$C$7,2,0)</f>
        <v>59038</v>
      </c>
      <c r="C634" t="s">
        <v>15</v>
      </c>
      <c r="D634" s="1">
        <v>21</v>
      </c>
      <c r="E634">
        <v>2</v>
      </c>
      <c r="F634">
        <v>262</v>
      </c>
      <c r="G634">
        <v>264</v>
      </c>
      <c r="H634">
        <v>438</v>
      </c>
      <c r="I634" s="2">
        <v>60.2739726</v>
      </c>
      <c r="J634" cm="1">
        <f t="array" ref="J634">IF(AND(I634&gt;=0,I634&lt;=20),0,IF(AND(I634&gt;20,I634&lt;=40),1, IF(AND(I634&gt;40,I634&lt;=60),2,IF(AND(I634&gt;60,I634&lt;=80),3, IF(AND(I634&gt;80,I634&lt;=100),4,”5”)))))</f>
        <v>3</v>
      </c>
    </row>
    <row r="635" spans="1:10" x14ac:dyDescent="0.3">
      <c r="A635" t="str">
        <f t="shared" si="12"/>
        <v>59038_22</v>
      </c>
      <c r="B635">
        <f>VLOOKUP(C635,[1]lookuptable!$A$1:$C$7,2,0)</f>
        <v>59038</v>
      </c>
      <c r="C635" t="s">
        <v>15</v>
      </c>
      <c r="D635" s="1">
        <v>22</v>
      </c>
      <c r="E635">
        <v>0</v>
      </c>
      <c r="F635">
        <v>151</v>
      </c>
      <c r="G635">
        <v>151</v>
      </c>
      <c r="H635">
        <v>446</v>
      </c>
      <c r="I635" s="2">
        <v>33.856502239999998</v>
      </c>
      <c r="J635" cm="1">
        <f t="array" ref="J635">IF(AND(I635&gt;=0,I635&lt;=20),0,IF(AND(I635&gt;20,I635&lt;=40),1, IF(AND(I635&gt;40,I635&lt;=60),2,IF(AND(I635&gt;60,I635&lt;=80),3, IF(AND(I635&gt;80,I635&lt;=100),4,”5”)))))</f>
        <v>1</v>
      </c>
    </row>
    <row r="636" spans="1:10" x14ac:dyDescent="0.3">
      <c r="A636" t="str">
        <f t="shared" si="12"/>
        <v>59038_23</v>
      </c>
      <c r="B636">
        <f>VLOOKUP(C636,[1]lookuptable!$A$1:$C$7,2,0)</f>
        <v>59038</v>
      </c>
      <c r="C636" t="s">
        <v>15</v>
      </c>
      <c r="D636" s="1">
        <v>23</v>
      </c>
      <c r="E636">
        <v>1</v>
      </c>
      <c r="F636">
        <v>160</v>
      </c>
      <c r="G636">
        <v>161</v>
      </c>
      <c r="H636">
        <v>547</v>
      </c>
      <c r="I636" s="2">
        <v>29.433272389999999</v>
      </c>
      <c r="J636" cm="1">
        <f t="array" ref="J636">IF(AND(I636&gt;=0,I636&lt;=20),0,IF(AND(I636&gt;20,I636&lt;=40),1, IF(AND(I636&gt;40,I636&lt;=60),2,IF(AND(I636&gt;60,I636&lt;=80),3, IF(AND(I636&gt;80,I636&lt;=100),4,”5”)))))</f>
        <v>1</v>
      </c>
    </row>
    <row r="637" spans="1:10" x14ac:dyDescent="0.3">
      <c r="A637" t="str">
        <f t="shared" si="12"/>
        <v>59038_24</v>
      </c>
      <c r="B637">
        <f>VLOOKUP(C637,[1]lookuptable!$A$1:$C$7,2,0)</f>
        <v>59038</v>
      </c>
      <c r="C637" t="s">
        <v>15</v>
      </c>
      <c r="D637" s="1">
        <v>24</v>
      </c>
      <c r="E637">
        <v>0</v>
      </c>
      <c r="F637">
        <v>124</v>
      </c>
      <c r="G637">
        <v>124</v>
      </c>
      <c r="H637">
        <v>445</v>
      </c>
      <c r="I637" s="2">
        <v>27.865168539999999</v>
      </c>
      <c r="J637" cm="1">
        <f t="array" ref="J637">IF(AND(I637&gt;=0,I637&lt;=20),0,IF(AND(I637&gt;20,I637&lt;=40),1, IF(AND(I637&gt;40,I637&lt;=60),2,IF(AND(I637&gt;60,I637&lt;=80),3, IF(AND(I637&gt;80,I637&lt;=100),4,”5”)))))</f>
        <v>1</v>
      </c>
    </row>
    <row r="638" spans="1:10" x14ac:dyDescent="0.3">
      <c r="A638" t="str">
        <f t="shared" si="12"/>
        <v>59038_25</v>
      </c>
      <c r="B638">
        <f>VLOOKUP(C638,[1]lookuptable!$A$1:$C$7,2,0)</f>
        <v>59038</v>
      </c>
      <c r="C638" t="s">
        <v>15</v>
      </c>
      <c r="D638" s="1">
        <v>25</v>
      </c>
      <c r="E638">
        <v>0</v>
      </c>
      <c r="F638">
        <v>135</v>
      </c>
      <c r="G638">
        <v>135</v>
      </c>
      <c r="H638">
        <v>495</v>
      </c>
      <c r="I638" s="2">
        <v>27.272727270000001</v>
      </c>
      <c r="J638" cm="1">
        <f t="array" ref="J638">IF(AND(I638&gt;=0,I638&lt;=20),0,IF(AND(I638&gt;20,I638&lt;=40),1, IF(AND(I638&gt;40,I638&lt;=60),2,IF(AND(I638&gt;60,I638&lt;=80),3, IF(AND(I638&gt;80,I638&lt;=100),4,”5”)))))</f>
        <v>1</v>
      </c>
    </row>
    <row r="639" spans="1:10" x14ac:dyDescent="0.3">
      <c r="A639" t="str">
        <f t="shared" si="12"/>
        <v>59038_26</v>
      </c>
      <c r="B639">
        <f>VLOOKUP(C639,[1]lookuptable!$A$1:$C$7,2,0)</f>
        <v>59038</v>
      </c>
      <c r="C639" t="s">
        <v>15</v>
      </c>
      <c r="D639" s="1">
        <v>26</v>
      </c>
      <c r="E639">
        <v>0</v>
      </c>
      <c r="F639">
        <v>121</v>
      </c>
      <c r="G639">
        <v>121</v>
      </c>
      <c r="H639">
        <v>348</v>
      </c>
      <c r="I639" s="2">
        <v>34.770114939999999</v>
      </c>
      <c r="J639" cm="1">
        <f t="array" ref="J639">IF(AND(I639&gt;=0,I639&lt;=20),0,IF(AND(I639&gt;20,I639&lt;=40),1, IF(AND(I639&gt;40,I639&lt;=60),2,IF(AND(I639&gt;60,I639&lt;=80),3, IF(AND(I639&gt;80,I639&lt;=100),4,”5”)))))</f>
        <v>1</v>
      </c>
    </row>
    <row r="640" spans="1:10" x14ac:dyDescent="0.3">
      <c r="A640" t="str">
        <f t="shared" si="12"/>
        <v>59038_27</v>
      </c>
      <c r="B640">
        <f>VLOOKUP(C640,[1]lookuptable!$A$1:$C$7,2,0)</f>
        <v>59038</v>
      </c>
      <c r="C640" t="s">
        <v>15</v>
      </c>
      <c r="D640" s="1">
        <v>27</v>
      </c>
      <c r="E640">
        <v>0</v>
      </c>
      <c r="F640">
        <v>273</v>
      </c>
      <c r="G640">
        <v>273</v>
      </c>
      <c r="H640">
        <v>764</v>
      </c>
      <c r="I640" s="2">
        <v>35.732984289999997</v>
      </c>
      <c r="J640" cm="1">
        <f t="array" ref="J640">IF(AND(I640&gt;=0,I640&lt;=20),0,IF(AND(I640&gt;20,I640&lt;=40),1, IF(AND(I640&gt;40,I640&lt;=60),2,IF(AND(I640&gt;60,I640&lt;=80),3, IF(AND(I640&gt;80,I640&lt;=100),4,”5”)))))</f>
        <v>1</v>
      </c>
    </row>
    <row r="641" spans="1:10" x14ac:dyDescent="0.3">
      <c r="A641" t="str">
        <f t="shared" si="12"/>
        <v>59038_28</v>
      </c>
      <c r="B641">
        <f>VLOOKUP(C641,[1]lookuptable!$A$1:$C$7,2,0)</f>
        <v>59038</v>
      </c>
      <c r="C641" t="s">
        <v>15</v>
      </c>
      <c r="D641" s="1">
        <v>28</v>
      </c>
      <c r="E641">
        <v>29</v>
      </c>
      <c r="F641">
        <v>0</v>
      </c>
      <c r="G641">
        <v>0</v>
      </c>
      <c r="H641">
        <v>358</v>
      </c>
      <c r="I641" s="2">
        <f>((E641+G641)/H641)*100</f>
        <v>8.1005586592178762</v>
      </c>
      <c r="J641" cm="1">
        <f t="array" ref="J641">IF(AND(I641&gt;=0,I641&lt;=20),0,IF(AND(I641&gt;20,I641&lt;=40),1, IF(AND(I641&gt;40,I641&lt;=60),2,IF(AND(I641&gt;60,I641&lt;=80),3, IF(AND(I641&gt;80,I641&lt;=100),4,”5”)))))</f>
        <v>0</v>
      </c>
    </row>
    <row r="642" spans="1:10" x14ac:dyDescent="0.3">
      <c r="A642" t="str">
        <f t="shared" ref="A642:A705" si="14">CONCATENATE(B642,"_",D642)</f>
        <v>59038_29</v>
      </c>
      <c r="B642">
        <f>VLOOKUP(C642,[1]lookuptable!$A$1:$C$7,2,0)</f>
        <v>59038</v>
      </c>
      <c r="C642" t="s">
        <v>15</v>
      </c>
      <c r="D642" s="1">
        <v>29</v>
      </c>
      <c r="E642">
        <v>2</v>
      </c>
      <c r="F642">
        <v>244</v>
      </c>
      <c r="G642">
        <v>246</v>
      </c>
      <c r="H642">
        <v>379</v>
      </c>
      <c r="I642" s="2">
        <v>64.907651720000004</v>
      </c>
      <c r="J642" cm="1">
        <f t="array" ref="J642">IF(AND(I642&gt;=0,I642&lt;=20),0,IF(AND(I642&gt;20,I642&lt;=40),1, IF(AND(I642&gt;40,I642&lt;=60),2,IF(AND(I642&gt;60,I642&lt;=80),3, IF(AND(I642&gt;80,I642&lt;=100),4,”5”)))))</f>
        <v>3</v>
      </c>
    </row>
    <row r="643" spans="1:10" x14ac:dyDescent="0.3">
      <c r="A643" t="str">
        <f t="shared" si="14"/>
        <v>59038_30</v>
      </c>
      <c r="B643">
        <f>VLOOKUP(C643,[1]lookuptable!$A$1:$C$7,2,0)</f>
        <v>59038</v>
      </c>
      <c r="C643" t="s">
        <v>15</v>
      </c>
      <c r="D643" s="1">
        <v>30</v>
      </c>
      <c r="E643">
        <v>2</v>
      </c>
      <c r="F643">
        <v>227</v>
      </c>
      <c r="G643">
        <v>229</v>
      </c>
      <c r="H643">
        <v>435</v>
      </c>
      <c r="I643" s="2">
        <v>52.64367816</v>
      </c>
      <c r="J643" cm="1">
        <f t="array" ref="J643">IF(AND(I643&gt;=0,I643&lt;=20),0,IF(AND(I643&gt;20,I643&lt;=40),1, IF(AND(I643&gt;40,I643&lt;=60),2,IF(AND(I643&gt;60,I643&lt;=80),3, IF(AND(I643&gt;80,I643&lt;=100),4,”5”)))))</f>
        <v>2</v>
      </c>
    </row>
    <row r="644" spans="1:10" x14ac:dyDescent="0.3">
      <c r="A644" t="str">
        <f t="shared" si="14"/>
        <v>59038_31</v>
      </c>
      <c r="B644">
        <f>VLOOKUP(C644,[1]lookuptable!$A$1:$C$7,2,0)</f>
        <v>59038</v>
      </c>
      <c r="C644" t="s">
        <v>15</v>
      </c>
      <c r="D644" s="1">
        <v>31</v>
      </c>
      <c r="E644">
        <v>2</v>
      </c>
      <c r="F644">
        <v>193</v>
      </c>
      <c r="G644">
        <v>195</v>
      </c>
      <c r="H644">
        <v>475</v>
      </c>
      <c r="I644" s="2">
        <v>41.052631580000003</v>
      </c>
      <c r="J644" cm="1">
        <f t="array" ref="J644">IF(AND(I644&gt;=0,I644&lt;=20),0,IF(AND(I644&gt;20,I644&lt;=40),1, IF(AND(I644&gt;40,I644&lt;=60),2,IF(AND(I644&gt;60,I644&lt;=80),3, IF(AND(I644&gt;80,I644&lt;=100),4,”5”)))))</f>
        <v>2</v>
      </c>
    </row>
    <row r="645" spans="1:10" x14ac:dyDescent="0.3">
      <c r="A645" t="str">
        <f t="shared" si="14"/>
        <v>59038_32</v>
      </c>
      <c r="B645">
        <f>VLOOKUP(C645,[1]lookuptable!$A$1:$C$7,2,0)</f>
        <v>59038</v>
      </c>
      <c r="C645" t="s">
        <v>15</v>
      </c>
      <c r="D645" s="1">
        <v>32</v>
      </c>
      <c r="E645">
        <v>0</v>
      </c>
      <c r="F645">
        <v>135</v>
      </c>
      <c r="G645">
        <v>135</v>
      </c>
      <c r="H645">
        <v>348</v>
      </c>
      <c r="I645" s="2">
        <v>38.793103449999997</v>
      </c>
      <c r="J645" cm="1">
        <f t="array" ref="J645">IF(AND(I645&gt;=0,I645&lt;=20),0,IF(AND(I645&gt;20,I645&lt;=40),1, IF(AND(I645&gt;40,I645&lt;=60),2,IF(AND(I645&gt;60,I645&lt;=80),3, IF(AND(I645&gt;80,I645&lt;=100),4,”5”)))))</f>
        <v>1</v>
      </c>
    </row>
    <row r="646" spans="1:10" x14ac:dyDescent="0.3">
      <c r="A646" t="str">
        <f t="shared" si="14"/>
        <v>59038_33</v>
      </c>
      <c r="B646">
        <f>VLOOKUP(C646,[1]lookuptable!$A$1:$C$7,2,0)</f>
        <v>59038</v>
      </c>
      <c r="C646" t="s">
        <v>15</v>
      </c>
      <c r="D646" s="1">
        <v>33</v>
      </c>
      <c r="E646">
        <v>1</v>
      </c>
      <c r="F646">
        <v>153</v>
      </c>
      <c r="G646">
        <v>154</v>
      </c>
      <c r="H646">
        <v>469</v>
      </c>
      <c r="I646" s="2">
        <v>32.835820900000002</v>
      </c>
      <c r="J646" cm="1">
        <f t="array" ref="J646">IF(AND(I646&gt;=0,I646&lt;=20),0,IF(AND(I646&gt;20,I646&lt;=40),1, IF(AND(I646&gt;40,I646&lt;=60),2,IF(AND(I646&gt;60,I646&lt;=80),3, IF(AND(I646&gt;80,I646&lt;=100),4,”5”)))))</f>
        <v>1</v>
      </c>
    </row>
    <row r="647" spans="1:10" x14ac:dyDescent="0.3">
      <c r="A647" t="str">
        <f t="shared" si="14"/>
        <v>59038_34</v>
      </c>
      <c r="B647">
        <f>VLOOKUP(C647,[1]lookuptable!$A$1:$C$7,2,0)</f>
        <v>59038</v>
      </c>
      <c r="C647" t="s">
        <v>15</v>
      </c>
      <c r="D647" s="1">
        <v>34</v>
      </c>
      <c r="E647">
        <v>2</v>
      </c>
      <c r="F647">
        <v>135</v>
      </c>
      <c r="G647">
        <v>137</v>
      </c>
      <c r="H647">
        <v>364</v>
      </c>
      <c r="I647" s="2">
        <v>37.637362639999999</v>
      </c>
      <c r="J647" cm="1">
        <f t="array" ref="J647">IF(AND(I647&gt;=0,I647&lt;=20),0,IF(AND(I647&gt;20,I647&lt;=40),1, IF(AND(I647&gt;40,I647&lt;=60),2,IF(AND(I647&gt;60,I647&lt;=80),3, IF(AND(I647&gt;80,I647&lt;=100),4,”5”)))))</f>
        <v>1</v>
      </c>
    </row>
    <row r="648" spans="1:10" x14ac:dyDescent="0.3">
      <c r="A648" t="str">
        <f t="shared" si="14"/>
        <v>59038_35</v>
      </c>
      <c r="B648">
        <f>VLOOKUP(C648,[1]lookuptable!$A$1:$C$7,2,0)</f>
        <v>59038</v>
      </c>
      <c r="C648" t="s">
        <v>15</v>
      </c>
      <c r="D648" s="1">
        <v>35</v>
      </c>
      <c r="E648">
        <v>0</v>
      </c>
      <c r="F648">
        <v>179</v>
      </c>
      <c r="G648">
        <v>179</v>
      </c>
      <c r="H648">
        <v>415</v>
      </c>
      <c r="I648" s="2">
        <v>43.132530119999998</v>
      </c>
      <c r="J648" cm="1">
        <f t="array" ref="J648">IF(AND(I648&gt;=0,I648&lt;=20),0,IF(AND(I648&gt;20,I648&lt;=40),1, IF(AND(I648&gt;40,I648&lt;=60),2,IF(AND(I648&gt;60,I648&lt;=80),3, IF(AND(I648&gt;80,I648&lt;=100),4,”5”)))))</f>
        <v>2</v>
      </c>
    </row>
    <row r="649" spans="1:10" x14ac:dyDescent="0.3">
      <c r="A649" t="str">
        <f t="shared" si="14"/>
        <v>59038_36</v>
      </c>
      <c r="B649">
        <f>VLOOKUP(C649,[1]lookuptable!$A$1:$C$7,2,0)</f>
        <v>59038</v>
      </c>
      <c r="C649" t="s">
        <v>15</v>
      </c>
      <c r="D649" s="1">
        <v>36</v>
      </c>
      <c r="E649">
        <v>1</v>
      </c>
      <c r="F649">
        <v>151</v>
      </c>
      <c r="G649">
        <v>152</v>
      </c>
      <c r="H649">
        <v>476</v>
      </c>
      <c r="I649" s="2">
        <v>31.932773109999999</v>
      </c>
      <c r="J649" cm="1">
        <f t="array" ref="J649">IF(AND(I649&gt;=0,I649&lt;=20),0,IF(AND(I649&gt;20,I649&lt;=40),1, IF(AND(I649&gt;40,I649&lt;=60),2,IF(AND(I649&gt;60,I649&lt;=80),3, IF(AND(I649&gt;80,I649&lt;=100),4,”5”)))))</f>
        <v>1</v>
      </c>
    </row>
    <row r="650" spans="1:10" x14ac:dyDescent="0.3">
      <c r="A650" t="str">
        <f t="shared" si="14"/>
        <v>59038_37</v>
      </c>
      <c r="B650">
        <f>VLOOKUP(C650,[1]lookuptable!$A$1:$C$7,2,0)</f>
        <v>59038</v>
      </c>
      <c r="C650" t="s">
        <v>15</v>
      </c>
      <c r="D650" s="1">
        <v>37</v>
      </c>
      <c r="E650">
        <v>1</v>
      </c>
      <c r="F650">
        <v>176</v>
      </c>
      <c r="G650">
        <v>177</v>
      </c>
      <c r="H650">
        <v>476</v>
      </c>
      <c r="I650" s="2">
        <v>37.184873949999997</v>
      </c>
      <c r="J650" cm="1">
        <f t="array" ref="J650">IF(AND(I650&gt;=0,I650&lt;=20),0,IF(AND(I650&gt;20,I650&lt;=40),1, IF(AND(I650&gt;40,I650&lt;=60),2,IF(AND(I650&gt;60,I650&lt;=80),3, IF(AND(I650&gt;80,I650&lt;=100),4,”5”)))))</f>
        <v>1</v>
      </c>
    </row>
    <row r="651" spans="1:10" x14ac:dyDescent="0.3">
      <c r="A651" t="str">
        <f t="shared" si="14"/>
        <v>59038_38</v>
      </c>
      <c r="B651">
        <f>VLOOKUP(C651,[1]lookuptable!$A$1:$C$7,2,0)</f>
        <v>59038</v>
      </c>
      <c r="C651" t="s">
        <v>15</v>
      </c>
      <c r="D651" s="1">
        <v>38</v>
      </c>
      <c r="E651">
        <v>4</v>
      </c>
      <c r="F651">
        <v>174</v>
      </c>
      <c r="G651">
        <v>178</v>
      </c>
      <c r="H651">
        <v>393</v>
      </c>
      <c r="I651" s="2">
        <v>45.29262087</v>
      </c>
      <c r="J651" cm="1">
        <f t="array" ref="J651">IF(AND(I651&gt;=0,I651&lt;=20),0,IF(AND(I651&gt;20,I651&lt;=40),1, IF(AND(I651&gt;40,I651&lt;=60),2,IF(AND(I651&gt;60,I651&lt;=80),3, IF(AND(I651&gt;80,I651&lt;=100),4,”5”)))))</f>
        <v>2</v>
      </c>
    </row>
    <row r="652" spans="1:10" x14ac:dyDescent="0.3">
      <c r="A652" t="str">
        <f t="shared" si="14"/>
        <v>59038_39</v>
      </c>
      <c r="B652">
        <f>VLOOKUP(C652,[1]lookuptable!$A$1:$C$7,2,0)</f>
        <v>59038</v>
      </c>
      <c r="C652" t="s">
        <v>15</v>
      </c>
      <c r="D652" s="1">
        <v>39</v>
      </c>
      <c r="E652">
        <v>0</v>
      </c>
      <c r="F652">
        <v>182</v>
      </c>
      <c r="G652">
        <v>182</v>
      </c>
      <c r="H652">
        <v>478</v>
      </c>
      <c r="I652" s="2">
        <v>38.075313809999997</v>
      </c>
      <c r="J652" cm="1">
        <f t="array" ref="J652">IF(AND(I652&gt;=0,I652&lt;=20),0,IF(AND(I652&gt;20,I652&lt;=40),1, IF(AND(I652&gt;40,I652&lt;=60),2,IF(AND(I652&gt;60,I652&lt;=80),3, IF(AND(I652&gt;80,I652&lt;=100),4,”5”)))))</f>
        <v>1</v>
      </c>
    </row>
    <row r="653" spans="1:10" x14ac:dyDescent="0.3">
      <c r="A653" t="str">
        <f t="shared" si="14"/>
        <v>59038_40</v>
      </c>
      <c r="B653">
        <f>VLOOKUP(C653,[1]lookuptable!$A$1:$C$7,2,0)</f>
        <v>59038</v>
      </c>
      <c r="C653" t="s">
        <v>15</v>
      </c>
      <c r="D653" s="1">
        <v>40</v>
      </c>
      <c r="E653">
        <v>1</v>
      </c>
      <c r="F653">
        <v>169</v>
      </c>
      <c r="G653">
        <v>170</v>
      </c>
      <c r="H653">
        <v>478</v>
      </c>
      <c r="I653" s="2">
        <v>35.564853560000003</v>
      </c>
      <c r="J653" cm="1">
        <f t="array" ref="J653">IF(AND(I653&gt;=0,I653&lt;=20),0,IF(AND(I653&gt;20,I653&lt;=40),1, IF(AND(I653&gt;40,I653&lt;=60),2,IF(AND(I653&gt;60,I653&lt;=80),3, IF(AND(I653&gt;80,I653&lt;=100),4,”5”)))))</f>
        <v>1</v>
      </c>
    </row>
    <row r="654" spans="1:10" x14ac:dyDescent="0.3">
      <c r="A654" t="str">
        <f t="shared" si="14"/>
        <v>59038_41</v>
      </c>
      <c r="B654">
        <f>VLOOKUP(C654,[1]lookuptable!$A$1:$C$7,2,0)</f>
        <v>59038</v>
      </c>
      <c r="C654" t="s">
        <v>15</v>
      </c>
      <c r="D654" s="1">
        <v>41</v>
      </c>
      <c r="E654">
        <v>3</v>
      </c>
      <c r="F654">
        <v>243</v>
      </c>
      <c r="G654">
        <v>246</v>
      </c>
      <c r="H654">
        <v>408</v>
      </c>
      <c r="I654" s="2">
        <v>60.294117649999997</v>
      </c>
      <c r="J654" cm="1">
        <f t="array" ref="J654">IF(AND(I654&gt;=0,I654&lt;=20),0,IF(AND(I654&gt;20,I654&lt;=40),1, IF(AND(I654&gt;40,I654&lt;=60),2,IF(AND(I654&gt;60,I654&lt;=80),3, IF(AND(I654&gt;80,I654&lt;=100),4,”5”)))))</f>
        <v>3</v>
      </c>
    </row>
    <row r="655" spans="1:10" x14ac:dyDescent="0.3">
      <c r="A655" t="str">
        <f t="shared" si="14"/>
        <v>59038_42</v>
      </c>
      <c r="B655">
        <f>VLOOKUP(C655,[1]lookuptable!$A$1:$C$7,2,0)</f>
        <v>59038</v>
      </c>
      <c r="C655" t="s">
        <v>15</v>
      </c>
      <c r="D655" s="1">
        <v>42</v>
      </c>
      <c r="E655">
        <v>41</v>
      </c>
      <c r="F655">
        <v>0</v>
      </c>
      <c r="G655">
        <v>0</v>
      </c>
      <c r="H655">
        <v>362</v>
      </c>
      <c r="I655" s="2">
        <f>((E655+G655)/H655)*100</f>
        <v>11.325966850828729</v>
      </c>
      <c r="J655" cm="1">
        <f t="array" ref="J655">IF(AND(I655&gt;=0,I655&lt;=20),0,IF(AND(I655&gt;20,I655&lt;=40),1, IF(AND(I655&gt;40,I655&lt;=60),2,IF(AND(I655&gt;60,I655&lt;=80),3, IF(AND(I655&gt;80,I655&lt;=100),4,”5”)))))</f>
        <v>0</v>
      </c>
    </row>
    <row r="656" spans="1:10" x14ac:dyDescent="0.3">
      <c r="A656" t="str">
        <f t="shared" si="14"/>
        <v>59038_43</v>
      </c>
      <c r="B656">
        <f>VLOOKUP(C656,[1]lookuptable!$A$1:$C$7,2,0)</f>
        <v>59038</v>
      </c>
      <c r="C656" t="s">
        <v>15</v>
      </c>
      <c r="D656" s="1">
        <v>43</v>
      </c>
      <c r="E656">
        <v>0</v>
      </c>
      <c r="F656">
        <v>140</v>
      </c>
      <c r="G656">
        <v>140</v>
      </c>
      <c r="H656">
        <v>415</v>
      </c>
      <c r="I656" s="2">
        <v>33.734939760000003</v>
      </c>
      <c r="J656" cm="1">
        <f t="array" ref="J656">IF(AND(I656&gt;=0,I656&lt;=20),0,IF(AND(I656&gt;20,I656&lt;=40),1, IF(AND(I656&gt;40,I656&lt;=60),2,IF(AND(I656&gt;60,I656&lt;=80),3, IF(AND(I656&gt;80,I656&lt;=100),4,”5”)))))</f>
        <v>1</v>
      </c>
    </row>
    <row r="657" spans="1:10" x14ac:dyDescent="0.3">
      <c r="A657" t="str">
        <f t="shared" si="14"/>
        <v>59038_44</v>
      </c>
      <c r="B657">
        <f>VLOOKUP(C657,[1]lookuptable!$A$1:$C$7,2,0)</f>
        <v>59038</v>
      </c>
      <c r="C657" t="s">
        <v>15</v>
      </c>
      <c r="D657" s="1">
        <v>44</v>
      </c>
      <c r="E657">
        <v>0</v>
      </c>
      <c r="F657">
        <v>148</v>
      </c>
      <c r="G657">
        <v>148</v>
      </c>
      <c r="H657">
        <v>412</v>
      </c>
      <c r="I657" s="2">
        <v>35.922330100000003</v>
      </c>
      <c r="J657" cm="1">
        <f t="array" ref="J657">IF(AND(I657&gt;=0,I657&lt;=20),0,IF(AND(I657&gt;20,I657&lt;=40),1, IF(AND(I657&gt;40,I657&lt;=60),2,IF(AND(I657&gt;60,I657&lt;=80),3, IF(AND(I657&gt;80,I657&lt;=100),4,”5”)))))</f>
        <v>1</v>
      </c>
    </row>
    <row r="658" spans="1:10" x14ac:dyDescent="0.3">
      <c r="A658" t="str">
        <f t="shared" si="14"/>
        <v>59038_45</v>
      </c>
      <c r="B658">
        <f>VLOOKUP(C658,[1]lookuptable!$A$1:$C$7,2,0)</f>
        <v>59038</v>
      </c>
      <c r="C658" t="s">
        <v>15</v>
      </c>
      <c r="D658" s="1">
        <v>45</v>
      </c>
      <c r="E658">
        <v>1</v>
      </c>
      <c r="F658">
        <v>109</v>
      </c>
      <c r="G658">
        <v>110</v>
      </c>
      <c r="H658">
        <v>469</v>
      </c>
      <c r="I658" s="2">
        <v>23.454157779999999</v>
      </c>
      <c r="J658" cm="1">
        <f t="array" ref="J658">IF(AND(I658&gt;=0,I658&lt;=20),0,IF(AND(I658&gt;20,I658&lt;=40),1, IF(AND(I658&gt;40,I658&lt;=60),2,IF(AND(I658&gt;60,I658&lt;=80),3, IF(AND(I658&gt;80,I658&lt;=100),4,”5”)))))</f>
        <v>1</v>
      </c>
    </row>
    <row r="659" spans="1:10" x14ac:dyDescent="0.3">
      <c r="A659" t="str">
        <f t="shared" si="14"/>
        <v>59038_46</v>
      </c>
      <c r="B659">
        <f>VLOOKUP(C659,[1]lookuptable!$A$1:$C$7,2,0)</f>
        <v>59038</v>
      </c>
      <c r="C659" t="s">
        <v>15</v>
      </c>
      <c r="D659" s="1">
        <v>46</v>
      </c>
      <c r="E659">
        <v>0</v>
      </c>
      <c r="F659">
        <v>135</v>
      </c>
      <c r="G659">
        <v>135</v>
      </c>
      <c r="H659">
        <v>376</v>
      </c>
      <c r="I659" s="2">
        <v>35.904255319999997</v>
      </c>
      <c r="J659" cm="1">
        <f t="array" ref="J659">IF(AND(I659&gt;=0,I659&lt;=20),0,IF(AND(I659&gt;20,I659&lt;=40),1, IF(AND(I659&gt;40,I659&lt;=60),2,IF(AND(I659&gt;60,I659&lt;=80),3, IF(AND(I659&gt;80,I659&lt;=100),4,”5”)))))</f>
        <v>1</v>
      </c>
    </row>
    <row r="660" spans="1:10" x14ac:dyDescent="0.3">
      <c r="A660" t="str">
        <f t="shared" si="14"/>
        <v>59038_47</v>
      </c>
      <c r="B660">
        <f>VLOOKUP(C660,[1]lookuptable!$A$1:$C$7,2,0)</f>
        <v>59038</v>
      </c>
      <c r="C660" t="s">
        <v>15</v>
      </c>
      <c r="D660" s="1">
        <v>47</v>
      </c>
      <c r="E660">
        <v>0</v>
      </c>
      <c r="F660">
        <v>140</v>
      </c>
      <c r="G660">
        <v>140</v>
      </c>
      <c r="H660">
        <v>452</v>
      </c>
      <c r="I660" s="2">
        <v>30.97345133</v>
      </c>
      <c r="J660" cm="1">
        <f t="array" ref="J660">IF(AND(I660&gt;=0,I660&lt;=20),0,IF(AND(I660&gt;20,I660&lt;=40),1, IF(AND(I660&gt;40,I660&lt;=60),2,IF(AND(I660&gt;60,I660&lt;=80),3, IF(AND(I660&gt;80,I660&lt;=100),4,”5”)))))</f>
        <v>1</v>
      </c>
    </row>
    <row r="661" spans="1:10" x14ac:dyDescent="0.3">
      <c r="A661" t="str">
        <f t="shared" si="14"/>
        <v>59038_48</v>
      </c>
      <c r="B661">
        <f>VLOOKUP(C661,[1]lookuptable!$A$1:$C$7,2,0)</f>
        <v>59038</v>
      </c>
      <c r="C661" t="s">
        <v>15</v>
      </c>
      <c r="D661" s="1">
        <v>48</v>
      </c>
      <c r="E661">
        <v>1</v>
      </c>
      <c r="F661">
        <v>114</v>
      </c>
      <c r="G661">
        <v>115</v>
      </c>
      <c r="H661">
        <v>450</v>
      </c>
      <c r="I661" s="2">
        <v>25.555555559999998</v>
      </c>
      <c r="J661" cm="1">
        <f t="array" ref="J661">IF(AND(I661&gt;=0,I661&lt;=20),0,IF(AND(I661&gt;20,I661&lt;=40),1, IF(AND(I661&gt;40,I661&lt;=60),2,IF(AND(I661&gt;60,I661&lt;=80),3, IF(AND(I661&gt;80,I661&lt;=100),4,”5”)))))</f>
        <v>1</v>
      </c>
    </row>
    <row r="662" spans="1:10" x14ac:dyDescent="0.3">
      <c r="A662" t="str">
        <f t="shared" si="14"/>
        <v>59038_49</v>
      </c>
      <c r="B662">
        <f>VLOOKUP(C662,[1]lookuptable!$A$1:$C$7,2,0)</f>
        <v>59038</v>
      </c>
      <c r="C662" t="s">
        <v>15</v>
      </c>
      <c r="D662" s="1">
        <v>49</v>
      </c>
      <c r="E662">
        <v>1</v>
      </c>
      <c r="F662">
        <v>115</v>
      </c>
      <c r="G662">
        <v>116</v>
      </c>
      <c r="H662">
        <v>463</v>
      </c>
      <c r="I662" s="2">
        <v>25.05399568</v>
      </c>
      <c r="J662" cm="1">
        <f t="array" ref="J662">IF(AND(I662&gt;=0,I662&lt;=20),0,IF(AND(I662&gt;20,I662&lt;=40),1, IF(AND(I662&gt;40,I662&lt;=60),2,IF(AND(I662&gt;60,I662&lt;=80),3, IF(AND(I662&gt;80,I662&lt;=100),4,”5”)))))</f>
        <v>1</v>
      </c>
    </row>
    <row r="663" spans="1:10" x14ac:dyDescent="0.3">
      <c r="A663" t="str">
        <f t="shared" si="14"/>
        <v>59038_50</v>
      </c>
      <c r="B663">
        <f>VLOOKUP(C663,[1]lookuptable!$A$1:$C$7,2,0)</f>
        <v>59038</v>
      </c>
      <c r="C663" t="s">
        <v>15</v>
      </c>
      <c r="D663" s="1">
        <v>50</v>
      </c>
      <c r="E663">
        <v>0</v>
      </c>
      <c r="F663">
        <v>136</v>
      </c>
      <c r="G663">
        <v>136</v>
      </c>
      <c r="H663">
        <v>416</v>
      </c>
      <c r="I663" s="2">
        <v>32.69230769</v>
      </c>
      <c r="J663" cm="1">
        <f t="array" ref="J663">IF(AND(I663&gt;=0,I663&lt;=20),0,IF(AND(I663&gt;20,I663&lt;=40),1, IF(AND(I663&gt;40,I663&lt;=60),2,IF(AND(I663&gt;60,I663&lt;=80),3, IF(AND(I663&gt;80,I663&lt;=100),4,”5”)))))</f>
        <v>1</v>
      </c>
    </row>
    <row r="664" spans="1:10" x14ac:dyDescent="0.3">
      <c r="A664" t="str">
        <f t="shared" si="14"/>
        <v>59038_51</v>
      </c>
      <c r="B664">
        <f>VLOOKUP(C664,[1]lookuptable!$A$1:$C$7,2,0)</f>
        <v>59038</v>
      </c>
      <c r="C664" t="s">
        <v>15</v>
      </c>
      <c r="D664" s="1">
        <v>51</v>
      </c>
      <c r="E664">
        <v>1</v>
      </c>
      <c r="F664">
        <v>134</v>
      </c>
      <c r="G664">
        <v>135</v>
      </c>
      <c r="H664">
        <v>442</v>
      </c>
      <c r="I664" s="2">
        <v>30.542986429999999</v>
      </c>
      <c r="J664" cm="1">
        <f t="array" ref="J664">IF(AND(I664&gt;=0,I664&lt;=20),0,IF(AND(I664&gt;20,I664&lt;=40),1, IF(AND(I664&gt;40,I664&lt;=60),2,IF(AND(I664&gt;60,I664&lt;=80),3, IF(AND(I664&gt;80,I664&lt;=100),4,”5”)))))</f>
        <v>1</v>
      </c>
    </row>
    <row r="665" spans="1:10" x14ac:dyDescent="0.3">
      <c r="A665" t="str">
        <f t="shared" si="14"/>
        <v>59038_52</v>
      </c>
      <c r="B665">
        <f>VLOOKUP(C665,[1]lookuptable!$A$1:$C$7,2,0)</f>
        <v>59038</v>
      </c>
      <c r="C665" t="s">
        <v>15</v>
      </c>
      <c r="D665" s="1">
        <v>52</v>
      </c>
      <c r="E665">
        <v>1</v>
      </c>
      <c r="F665">
        <v>162</v>
      </c>
      <c r="G665">
        <v>163</v>
      </c>
      <c r="H665">
        <v>367</v>
      </c>
      <c r="I665" s="2">
        <v>44.414168940000003</v>
      </c>
      <c r="J665" cm="1">
        <f t="array" ref="J665">IF(AND(I665&gt;=0,I665&lt;=20),0,IF(AND(I665&gt;20,I665&lt;=40),1, IF(AND(I665&gt;40,I665&lt;=60),2,IF(AND(I665&gt;60,I665&lt;=80),3, IF(AND(I665&gt;80,I665&lt;=100),4,”5”)))))</f>
        <v>2</v>
      </c>
    </row>
    <row r="666" spans="1:10" x14ac:dyDescent="0.3">
      <c r="A666" t="str">
        <f t="shared" si="14"/>
        <v>59038_53</v>
      </c>
      <c r="B666">
        <f>VLOOKUP(C666,[1]lookuptable!$A$1:$C$7,2,0)</f>
        <v>59038</v>
      </c>
      <c r="C666" t="s">
        <v>15</v>
      </c>
      <c r="D666" s="1">
        <v>53</v>
      </c>
      <c r="E666">
        <v>0</v>
      </c>
      <c r="F666">
        <v>149</v>
      </c>
      <c r="G666">
        <v>149</v>
      </c>
      <c r="H666">
        <v>429</v>
      </c>
      <c r="I666" s="2">
        <v>34.731934729999999</v>
      </c>
      <c r="J666" cm="1">
        <f t="array" ref="J666">IF(AND(I666&gt;=0,I666&lt;=20),0,IF(AND(I666&gt;20,I666&lt;=40),1, IF(AND(I666&gt;40,I666&lt;=60),2,IF(AND(I666&gt;60,I666&lt;=80),3, IF(AND(I666&gt;80,I666&lt;=100),4,”5”)))))</f>
        <v>1</v>
      </c>
    </row>
    <row r="667" spans="1:10" x14ac:dyDescent="0.3">
      <c r="A667" t="str">
        <f t="shared" si="14"/>
        <v>59038_54</v>
      </c>
      <c r="B667">
        <f>VLOOKUP(C667,[1]lookuptable!$A$1:$C$7,2,0)</f>
        <v>59038</v>
      </c>
      <c r="C667" t="s">
        <v>15</v>
      </c>
      <c r="D667" s="1">
        <v>54</v>
      </c>
      <c r="E667">
        <v>1</v>
      </c>
      <c r="F667">
        <v>146</v>
      </c>
      <c r="G667">
        <v>147</v>
      </c>
      <c r="H667">
        <v>509</v>
      </c>
      <c r="I667" s="2">
        <v>28.88015717</v>
      </c>
      <c r="J667" cm="1">
        <f t="array" ref="J667">IF(AND(I667&gt;=0,I667&lt;=20),0,IF(AND(I667&gt;20,I667&lt;=40),1, IF(AND(I667&gt;40,I667&lt;=60),2,IF(AND(I667&gt;60,I667&lt;=80),3, IF(AND(I667&gt;80,I667&lt;=100),4,”5”)))))</f>
        <v>1</v>
      </c>
    </row>
    <row r="668" spans="1:10" x14ac:dyDescent="0.3">
      <c r="A668" t="str">
        <f t="shared" si="14"/>
        <v>59038_55</v>
      </c>
      <c r="B668">
        <f>VLOOKUP(C668,[1]lookuptable!$A$1:$C$7,2,0)</f>
        <v>59038</v>
      </c>
      <c r="C668" t="s">
        <v>15</v>
      </c>
      <c r="D668" s="1">
        <v>55</v>
      </c>
      <c r="E668">
        <v>60</v>
      </c>
      <c r="F668">
        <v>0</v>
      </c>
      <c r="G668">
        <v>0</v>
      </c>
      <c r="H668">
        <v>391</v>
      </c>
      <c r="I668" s="2">
        <f>((E668+G668)/H668)*100</f>
        <v>15.34526854219949</v>
      </c>
      <c r="J668" cm="1">
        <f t="array" ref="J668">IF(AND(I668&gt;=0,I668&lt;=20),0,IF(AND(I668&gt;20,I668&lt;=40),1, IF(AND(I668&gt;40,I668&lt;=60),2,IF(AND(I668&gt;60,I668&lt;=80),3, IF(AND(I668&gt;80,I668&lt;=100),4,”5”)))))</f>
        <v>0</v>
      </c>
    </row>
    <row r="669" spans="1:10" x14ac:dyDescent="0.3">
      <c r="A669" t="str">
        <f t="shared" si="14"/>
        <v>59038_56</v>
      </c>
      <c r="B669">
        <f>VLOOKUP(C669,[1]lookuptable!$A$1:$C$7,2,0)</f>
        <v>59038</v>
      </c>
      <c r="C669" t="s">
        <v>15</v>
      </c>
      <c r="D669" s="1">
        <v>56</v>
      </c>
      <c r="E669">
        <v>0</v>
      </c>
      <c r="F669">
        <v>141</v>
      </c>
      <c r="G669">
        <v>141</v>
      </c>
      <c r="H669">
        <v>484</v>
      </c>
      <c r="I669" s="2">
        <v>29.132231399999998</v>
      </c>
      <c r="J669" cm="1">
        <f t="array" ref="J669">IF(AND(I669&gt;=0,I669&lt;=20),0,IF(AND(I669&gt;20,I669&lt;=40),1, IF(AND(I669&gt;40,I669&lt;=60),2,IF(AND(I669&gt;60,I669&lt;=80),3, IF(AND(I669&gt;80,I669&lt;=100),4,”5”)))))</f>
        <v>1</v>
      </c>
    </row>
    <row r="670" spans="1:10" x14ac:dyDescent="0.3">
      <c r="A670" t="str">
        <f t="shared" si="14"/>
        <v>59038_57</v>
      </c>
      <c r="B670">
        <f>VLOOKUP(C670,[1]lookuptable!$A$1:$C$7,2,0)</f>
        <v>59038</v>
      </c>
      <c r="C670" t="s">
        <v>15</v>
      </c>
      <c r="D670" s="1">
        <v>57</v>
      </c>
      <c r="E670">
        <v>0</v>
      </c>
      <c r="F670">
        <v>124</v>
      </c>
      <c r="G670">
        <v>124</v>
      </c>
      <c r="H670">
        <v>450</v>
      </c>
      <c r="I670" s="2">
        <v>27.555555559999998</v>
      </c>
      <c r="J670" cm="1">
        <f t="array" ref="J670">IF(AND(I670&gt;=0,I670&lt;=20),0,IF(AND(I670&gt;20,I670&lt;=40),1, IF(AND(I670&gt;40,I670&lt;=60),2,IF(AND(I670&gt;60,I670&lt;=80),3, IF(AND(I670&gt;80,I670&lt;=100),4,”5”)))))</f>
        <v>1</v>
      </c>
    </row>
    <row r="671" spans="1:10" x14ac:dyDescent="0.3">
      <c r="A671" t="str">
        <f t="shared" si="14"/>
        <v>59038_58</v>
      </c>
      <c r="B671">
        <f>VLOOKUP(C671,[1]lookuptable!$A$1:$C$7,2,0)</f>
        <v>59038</v>
      </c>
      <c r="C671" t="s">
        <v>15</v>
      </c>
      <c r="D671" s="1">
        <v>58</v>
      </c>
      <c r="E671">
        <v>0</v>
      </c>
      <c r="F671">
        <v>192</v>
      </c>
      <c r="G671">
        <v>192</v>
      </c>
      <c r="H671">
        <v>469</v>
      </c>
      <c r="I671" s="2">
        <v>40.93816631</v>
      </c>
      <c r="J671" cm="1">
        <f t="array" ref="J671">IF(AND(I671&gt;=0,I671&lt;=20),0,IF(AND(I671&gt;20,I671&lt;=40),1, IF(AND(I671&gt;40,I671&lt;=60),2,IF(AND(I671&gt;60,I671&lt;=80),3, IF(AND(I671&gt;80,I671&lt;=100),4,”5”)))))</f>
        <v>2</v>
      </c>
    </row>
    <row r="672" spans="1:10" x14ac:dyDescent="0.3">
      <c r="A672" t="str">
        <f t="shared" si="14"/>
        <v>59038_59</v>
      </c>
      <c r="B672">
        <f>VLOOKUP(C672,[1]lookuptable!$A$1:$C$7,2,0)</f>
        <v>59038</v>
      </c>
      <c r="C672" t="s">
        <v>15</v>
      </c>
      <c r="D672" s="1">
        <v>59</v>
      </c>
      <c r="E672">
        <v>0</v>
      </c>
      <c r="F672">
        <v>116</v>
      </c>
      <c r="G672">
        <v>116</v>
      </c>
      <c r="H672">
        <v>412</v>
      </c>
      <c r="I672" s="2">
        <v>28.155339810000001</v>
      </c>
      <c r="J672" cm="1">
        <f t="array" ref="J672">IF(AND(I672&gt;=0,I672&lt;=20),0,IF(AND(I672&gt;20,I672&lt;=40),1, IF(AND(I672&gt;40,I672&lt;=60),2,IF(AND(I672&gt;60,I672&lt;=80),3, IF(AND(I672&gt;80,I672&lt;=100),4,”5”)))))</f>
        <v>1</v>
      </c>
    </row>
    <row r="673" spans="1:10" x14ac:dyDescent="0.3">
      <c r="A673" t="str">
        <f t="shared" si="14"/>
        <v>59038_60</v>
      </c>
      <c r="B673">
        <f>VLOOKUP(C673,[1]lookuptable!$A$1:$C$7,2,0)</f>
        <v>59038</v>
      </c>
      <c r="C673" t="s">
        <v>15</v>
      </c>
      <c r="D673" s="1">
        <v>60</v>
      </c>
      <c r="E673">
        <v>2</v>
      </c>
      <c r="F673">
        <v>262</v>
      </c>
      <c r="G673">
        <v>264</v>
      </c>
      <c r="H673">
        <v>423</v>
      </c>
      <c r="I673" s="2">
        <v>62.41134752</v>
      </c>
      <c r="J673" cm="1">
        <f t="array" ref="J673">IF(AND(I673&gt;=0,I673&lt;=20),0,IF(AND(I673&gt;20,I673&lt;=40),1, IF(AND(I673&gt;40,I673&lt;=60),2,IF(AND(I673&gt;60,I673&lt;=80),3, IF(AND(I673&gt;80,I673&lt;=100),4,”5”)))))</f>
        <v>3</v>
      </c>
    </row>
    <row r="674" spans="1:10" x14ac:dyDescent="0.3">
      <c r="A674" t="str">
        <f t="shared" si="14"/>
        <v>59038_61</v>
      </c>
      <c r="B674">
        <f>VLOOKUP(C674,[1]lookuptable!$A$1:$C$7,2,0)</f>
        <v>59038</v>
      </c>
      <c r="C674" t="s">
        <v>15</v>
      </c>
      <c r="D674" s="1">
        <v>61</v>
      </c>
      <c r="E674">
        <v>1</v>
      </c>
      <c r="F674">
        <v>160</v>
      </c>
      <c r="G674">
        <v>161</v>
      </c>
      <c r="H674">
        <v>514</v>
      </c>
      <c r="I674" s="2">
        <v>31.322957200000001</v>
      </c>
      <c r="J674" cm="1">
        <f t="array" ref="J674">IF(AND(I674&gt;=0,I674&lt;=20),0,IF(AND(I674&gt;20,I674&lt;=40),1, IF(AND(I674&gt;40,I674&lt;=60),2,IF(AND(I674&gt;60,I674&lt;=80),3, IF(AND(I674&gt;80,I674&lt;=100),4,”5”)))))</f>
        <v>1</v>
      </c>
    </row>
    <row r="675" spans="1:10" x14ac:dyDescent="0.3">
      <c r="A675" t="str">
        <f t="shared" si="14"/>
        <v>59038_62</v>
      </c>
      <c r="B675">
        <f>VLOOKUP(C675,[1]lookuptable!$A$1:$C$7,2,0)</f>
        <v>59038</v>
      </c>
      <c r="C675" t="s">
        <v>15</v>
      </c>
      <c r="D675" s="1">
        <v>62</v>
      </c>
      <c r="E675">
        <v>2</v>
      </c>
      <c r="F675">
        <v>176</v>
      </c>
      <c r="G675">
        <v>178</v>
      </c>
      <c r="H675">
        <v>498</v>
      </c>
      <c r="I675" s="2">
        <v>35.74297189</v>
      </c>
      <c r="J675" cm="1">
        <f t="array" ref="J675">IF(AND(I675&gt;=0,I675&lt;=20),0,IF(AND(I675&gt;20,I675&lt;=40),1, IF(AND(I675&gt;40,I675&lt;=60),2,IF(AND(I675&gt;60,I675&lt;=80),3, IF(AND(I675&gt;80,I675&lt;=100),4,”5”)))))</f>
        <v>1</v>
      </c>
    </row>
    <row r="676" spans="1:10" x14ac:dyDescent="0.3">
      <c r="A676" t="str">
        <f t="shared" si="14"/>
        <v>59038_63</v>
      </c>
      <c r="B676">
        <f>VLOOKUP(C676,[1]lookuptable!$A$1:$C$7,2,0)</f>
        <v>59038</v>
      </c>
      <c r="C676" t="s">
        <v>15</v>
      </c>
      <c r="D676" s="1">
        <v>63</v>
      </c>
      <c r="E676">
        <v>0</v>
      </c>
      <c r="F676">
        <v>256</v>
      </c>
      <c r="G676">
        <v>256</v>
      </c>
      <c r="H676">
        <v>472</v>
      </c>
      <c r="I676" s="2">
        <v>54.237288139999997</v>
      </c>
      <c r="J676" cm="1">
        <f t="array" ref="J676">IF(AND(I676&gt;=0,I676&lt;=20),0,IF(AND(I676&gt;20,I676&lt;=40),1, IF(AND(I676&gt;40,I676&lt;=60),2,IF(AND(I676&gt;60,I676&lt;=80),3, IF(AND(I676&gt;80,I676&lt;=100),4,”5”)))))</f>
        <v>2</v>
      </c>
    </row>
    <row r="677" spans="1:10" x14ac:dyDescent="0.3">
      <c r="A677" t="str">
        <f t="shared" si="14"/>
        <v>59038_64</v>
      </c>
      <c r="B677">
        <f>VLOOKUP(C677,[1]lookuptable!$A$1:$C$7,2,0)</f>
        <v>59038</v>
      </c>
      <c r="C677" t="s">
        <v>15</v>
      </c>
      <c r="D677" s="1">
        <v>64</v>
      </c>
      <c r="E677">
        <v>1</v>
      </c>
      <c r="F677">
        <v>215</v>
      </c>
      <c r="G677">
        <v>216</v>
      </c>
      <c r="H677">
        <v>565</v>
      </c>
      <c r="I677" s="2">
        <v>38.230088500000001</v>
      </c>
      <c r="J677" cm="1">
        <f t="array" ref="J677">IF(AND(I677&gt;=0,I677&lt;=20),0,IF(AND(I677&gt;20,I677&lt;=40),1, IF(AND(I677&gt;40,I677&lt;=60),2,IF(AND(I677&gt;60,I677&lt;=80),3, IF(AND(I677&gt;80,I677&lt;=100),4,”5”)))))</f>
        <v>1</v>
      </c>
    </row>
    <row r="678" spans="1:10" x14ac:dyDescent="0.3">
      <c r="A678" t="str">
        <f t="shared" si="14"/>
        <v>59038_65</v>
      </c>
      <c r="B678">
        <f>VLOOKUP(C678,[1]lookuptable!$A$1:$C$7,2,0)</f>
        <v>59038</v>
      </c>
      <c r="C678" t="s">
        <v>15</v>
      </c>
      <c r="D678" s="1">
        <v>65</v>
      </c>
      <c r="E678">
        <v>0</v>
      </c>
      <c r="F678">
        <v>143</v>
      </c>
      <c r="G678">
        <v>143</v>
      </c>
      <c r="H678">
        <v>352</v>
      </c>
      <c r="I678" s="2">
        <v>40.625</v>
      </c>
      <c r="J678" cm="1">
        <f t="array" ref="J678">IF(AND(I678&gt;=0,I678&lt;=20),0,IF(AND(I678&gt;20,I678&lt;=40),1, IF(AND(I678&gt;40,I678&lt;=60),2,IF(AND(I678&gt;60,I678&lt;=80),3, IF(AND(I678&gt;80,I678&lt;=100),4,”5”)))))</f>
        <v>2</v>
      </c>
    </row>
    <row r="679" spans="1:10" x14ac:dyDescent="0.3">
      <c r="A679" t="str">
        <f t="shared" si="14"/>
        <v>59038_66</v>
      </c>
      <c r="B679">
        <f>VLOOKUP(C679,[1]lookuptable!$A$1:$C$7,2,0)</f>
        <v>59038</v>
      </c>
      <c r="C679" t="s">
        <v>15</v>
      </c>
      <c r="D679" s="1">
        <v>66</v>
      </c>
      <c r="E679">
        <v>2</v>
      </c>
      <c r="F679">
        <v>211</v>
      </c>
      <c r="G679">
        <v>213</v>
      </c>
      <c r="H679">
        <v>450</v>
      </c>
      <c r="I679" s="2">
        <v>47.333333330000002</v>
      </c>
      <c r="J679" cm="1">
        <f t="array" ref="J679">IF(AND(I679&gt;=0,I679&lt;=20),0,IF(AND(I679&gt;20,I679&lt;=40),1, IF(AND(I679&gt;40,I679&lt;=60),2,IF(AND(I679&gt;60,I679&lt;=80),3, IF(AND(I679&gt;80,I679&lt;=100),4,”5”)))))</f>
        <v>2</v>
      </c>
    </row>
    <row r="680" spans="1:10" x14ac:dyDescent="0.3">
      <c r="A680" t="str">
        <f t="shared" si="14"/>
        <v>59038_67</v>
      </c>
      <c r="B680">
        <f>VLOOKUP(C680,[1]lookuptable!$A$1:$C$7,2,0)</f>
        <v>59038</v>
      </c>
      <c r="C680" t="s">
        <v>15</v>
      </c>
      <c r="D680" s="1">
        <v>67</v>
      </c>
      <c r="E680">
        <v>0</v>
      </c>
      <c r="F680">
        <v>140</v>
      </c>
      <c r="G680">
        <v>140</v>
      </c>
      <c r="H680">
        <v>367</v>
      </c>
      <c r="I680" s="2">
        <v>38.147138959999999</v>
      </c>
      <c r="J680" cm="1">
        <f t="array" ref="J680">IF(AND(I680&gt;=0,I680&lt;=20),0,IF(AND(I680&gt;20,I680&lt;=40),1, IF(AND(I680&gt;40,I680&lt;=60),2,IF(AND(I680&gt;60,I680&lt;=80),3, IF(AND(I680&gt;80,I680&lt;=100),4,”5”)))))</f>
        <v>1</v>
      </c>
    </row>
    <row r="681" spans="1:10" x14ac:dyDescent="0.3">
      <c r="A681" t="str">
        <f t="shared" si="14"/>
        <v>59038_68</v>
      </c>
      <c r="B681">
        <f>VLOOKUP(C681,[1]lookuptable!$A$1:$C$7,2,0)</f>
        <v>59038</v>
      </c>
      <c r="C681" t="s">
        <v>15</v>
      </c>
      <c r="D681" s="1">
        <v>68</v>
      </c>
      <c r="E681">
        <v>0</v>
      </c>
      <c r="F681">
        <v>160</v>
      </c>
      <c r="G681">
        <v>160</v>
      </c>
      <c r="H681">
        <v>468</v>
      </c>
      <c r="I681" s="2">
        <v>34.188034190000003</v>
      </c>
      <c r="J681" cm="1">
        <f t="array" ref="J681">IF(AND(I681&gt;=0,I681&lt;=20),0,IF(AND(I681&gt;20,I681&lt;=40),1, IF(AND(I681&gt;40,I681&lt;=60),2,IF(AND(I681&gt;60,I681&lt;=80),3, IF(AND(I681&gt;80,I681&lt;=100),4,”5”)))))</f>
        <v>1</v>
      </c>
    </row>
    <row r="682" spans="1:10" x14ac:dyDescent="0.3">
      <c r="A682" t="str">
        <f t="shared" si="14"/>
        <v>59038_69</v>
      </c>
      <c r="B682">
        <f>VLOOKUP(C682,[1]lookuptable!$A$1:$C$7,2,0)</f>
        <v>59038</v>
      </c>
      <c r="C682" t="s">
        <v>15</v>
      </c>
      <c r="D682" s="1">
        <v>69</v>
      </c>
      <c r="E682">
        <v>2</v>
      </c>
      <c r="F682">
        <v>141</v>
      </c>
      <c r="G682">
        <v>143</v>
      </c>
      <c r="H682">
        <v>476</v>
      </c>
      <c r="I682" s="2">
        <v>30.04201681</v>
      </c>
      <c r="J682" cm="1">
        <f t="array" ref="J682">IF(AND(I682&gt;=0,I682&lt;=20),0,IF(AND(I682&gt;20,I682&lt;=40),1, IF(AND(I682&gt;40,I682&lt;=60),2,IF(AND(I682&gt;60,I682&lt;=80),3, IF(AND(I682&gt;80,I682&lt;=100),4,”5”)))))</f>
        <v>1</v>
      </c>
    </row>
    <row r="683" spans="1:10" x14ac:dyDescent="0.3">
      <c r="A683" t="str">
        <f t="shared" si="14"/>
        <v>59038_70</v>
      </c>
      <c r="B683">
        <f>VLOOKUP(C683,[1]lookuptable!$A$1:$C$7,2,0)</f>
        <v>59038</v>
      </c>
      <c r="C683" t="s">
        <v>15</v>
      </c>
      <c r="D683" s="1">
        <v>70</v>
      </c>
      <c r="E683">
        <v>2</v>
      </c>
      <c r="F683">
        <v>163</v>
      </c>
      <c r="G683">
        <v>165</v>
      </c>
      <c r="H683">
        <v>446</v>
      </c>
      <c r="I683" s="2">
        <v>36.995515699999999</v>
      </c>
      <c r="J683" cm="1">
        <f t="array" ref="J683">IF(AND(I683&gt;=0,I683&lt;=20),0,IF(AND(I683&gt;20,I683&lt;=40),1, IF(AND(I683&gt;40,I683&lt;=60),2,IF(AND(I683&gt;60,I683&lt;=80),3, IF(AND(I683&gt;80,I683&lt;=100),4,”5”)))))</f>
        <v>1</v>
      </c>
    </row>
    <row r="684" spans="1:10" x14ac:dyDescent="0.3">
      <c r="A684" t="str">
        <f t="shared" si="14"/>
        <v>59038_71</v>
      </c>
      <c r="B684">
        <f>VLOOKUP(C684,[1]lookuptable!$A$1:$C$7,2,0)</f>
        <v>59038</v>
      </c>
      <c r="C684" t="s">
        <v>15</v>
      </c>
      <c r="D684" s="1">
        <v>71</v>
      </c>
      <c r="E684">
        <v>0</v>
      </c>
      <c r="F684">
        <v>181</v>
      </c>
      <c r="G684">
        <v>181</v>
      </c>
      <c r="H684">
        <v>444</v>
      </c>
      <c r="I684" s="2">
        <v>40.765765770000002</v>
      </c>
      <c r="J684" cm="1">
        <f t="array" ref="J684">IF(AND(I684&gt;=0,I684&lt;=20),0,IF(AND(I684&gt;20,I684&lt;=40),1, IF(AND(I684&gt;40,I684&lt;=60),2,IF(AND(I684&gt;60,I684&lt;=80),3, IF(AND(I684&gt;80,I684&lt;=100),4,”5”)))))</f>
        <v>2</v>
      </c>
    </row>
    <row r="685" spans="1:10" x14ac:dyDescent="0.3">
      <c r="A685" t="str">
        <f t="shared" si="14"/>
        <v>59038_72</v>
      </c>
      <c r="B685">
        <f>VLOOKUP(C685,[1]lookuptable!$A$1:$C$7,2,0)</f>
        <v>59038</v>
      </c>
      <c r="C685" t="s">
        <v>15</v>
      </c>
      <c r="D685" s="1">
        <v>72</v>
      </c>
      <c r="E685">
        <v>0</v>
      </c>
      <c r="F685">
        <v>102</v>
      </c>
      <c r="G685">
        <v>102</v>
      </c>
      <c r="H685">
        <v>344</v>
      </c>
      <c r="I685" s="2">
        <v>29.651162790000001</v>
      </c>
      <c r="J685" cm="1">
        <f t="array" ref="J685">IF(AND(I685&gt;=0,I685&lt;=20),0,IF(AND(I685&gt;20,I685&lt;=40),1, IF(AND(I685&gt;40,I685&lt;=60),2,IF(AND(I685&gt;60,I685&lt;=80),3, IF(AND(I685&gt;80,I685&lt;=100),4,”5”)))))</f>
        <v>1</v>
      </c>
    </row>
    <row r="686" spans="1:10" x14ac:dyDescent="0.3">
      <c r="A686" t="str">
        <f t="shared" si="14"/>
        <v>59038_73</v>
      </c>
      <c r="B686">
        <f>VLOOKUP(C686,[1]lookuptable!$A$1:$C$7,2,0)</f>
        <v>59038</v>
      </c>
      <c r="C686" t="s">
        <v>15</v>
      </c>
      <c r="D686" s="1">
        <v>73</v>
      </c>
      <c r="E686">
        <v>0</v>
      </c>
      <c r="F686">
        <v>121</v>
      </c>
      <c r="G686">
        <v>121</v>
      </c>
      <c r="H686">
        <v>357</v>
      </c>
      <c r="I686" s="2">
        <v>33.89355742</v>
      </c>
      <c r="J686" cm="1">
        <f t="array" ref="J686">IF(AND(I686&gt;=0,I686&lt;=20),0,IF(AND(I686&gt;20,I686&lt;=40),1, IF(AND(I686&gt;40,I686&lt;=60),2,IF(AND(I686&gt;60,I686&lt;=80),3, IF(AND(I686&gt;80,I686&lt;=100),4,”5”)))))</f>
        <v>1</v>
      </c>
    </row>
    <row r="687" spans="1:10" x14ac:dyDescent="0.3">
      <c r="A687" t="str">
        <f t="shared" si="14"/>
        <v>59038_74</v>
      </c>
      <c r="B687">
        <f>VLOOKUP(C687,[1]lookuptable!$A$1:$C$7,2,0)</f>
        <v>59038</v>
      </c>
      <c r="C687" t="s">
        <v>15</v>
      </c>
      <c r="D687" s="1">
        <v>74</v>
      </c>
      <c r="E687">
        <v>1</v>
      </c>
      <c r="F687">
        <v>163</v>
      </c>
      <c r="G687">
        <v>164</v>
      </c>
      <c r="H687">
        <v>516</v>
      </c>
      <c r="I687" s="2">
        <v>31.782945739999999</v>
      </c>
      <c r="J687" cm="1">
        <f t="array" ref="J687">IF(AND(I687&gt;=0,I687&lt;=20),0,IF(AND(I687&gt;20,I687&lt;=40),1, IF(AND(I687&gt;40,I687&lt;=60),2,IF(AND(I687&gt;60,I687&lt;=80),3, IF(AND(I687&gt;80,I687&lt;=100),4,”5”)))))</f>
        <v>1</v>
      </c>
    </row>
    <row r="688" spans="1:10" x14ac:dyDescent="0.3">
      <c r="A688" t="str">
        <f t="shared" si="14"/>
        <v>59038_75</v>
      </c>
      <c r="B688">
        <f>VLOOKUP(C688,[1]lookuptable!$A$1:$C$7,2,0)</f>
        <v>59038</v>
      </c>
      <c r="C688" t="s">
        <v>15</v>
      </c>
      <c r="D688" s="1">
        <v>75</v>
      </c>
      <c r="E688">
        <v>0</v>
      </c>
      <c r="F688">
        <v>159</v>
      </c>
      <c r="G688">
        <v>159</v>
      </c>
      <c r="H688">
        <v>384</v>
      </c>
      <c r="I688" s="2">
        <v>41.40625</v>
      </c>
      <c r="J688" cm="1">
        <f t="array" ref="J688">IF(AND(I688&gt;=0,I688&lt;=20),0,IF(AND(I688&gt;20,I688&lt;=40),1, IF(AND(I688&gt;40,I688&lt;=60),2,IF(AND(I688&gt;60,I688&lt;=80),3, IF(AND(I688&gt;80,I688&lt;=100),4,”5”)))))</f>
        <v>2</v>
      </c>
    </row>
    <row r="689" spans="1:10" x14ac:dyDescent="0.3">
      <c r="A689" t="str">
        <f t="shared" si="14"/>
        <v>59038_76</v>
      </c>
      <c r="B689">
        <f>VLOOKUP(C689,[1]lookuptable!$A$1:$C$7,2,0)</f>
        <v>59038</v>
      </c>
      <c r="C689" t="s">
        <v>15</v>
      </c>
      <c r="D689" s="1">
        <v>76</v>
      </c>
      <c r="E689">
        <v>1</v>
      </c>
      <c r="F689">
        <v>125</v>
      </c>
      <c r="G689">
        <v>126</v>
      </c>
      <c r="H689">
        <v>446</v>
      </c>
      <c r="I689" s="2">
        <v>28.251121080000001</v>
      </c>
      <c r="J689" cm="1">
        <f t="array" ref="J689">IF(AND(I689&gt;=0,I689&lt;=20),0,IF(AND(I689&gt;20,I689&lt;=40),1, IF(AND(I689&gt;40,I689&lt;=60),2,IF(AND(I689&gt;60,I689&lt;=80),3, IF(AND(I689&gt;80,I689&lt;=100),4,”5”)))))</f>
        <v>1</v>
      </c>
    </row>
    <row r="690" spans="1:10" x14ac:dyDescent="0.3">
      <c r="A690" t="str">
        <f t="shared" si="14"/>
        <v>59038_77</v>
      </c>
      <c r="B690">
        <f>VLOOKUP(C690,[1]lookuptable!$A$1:$C$7,2,0)</f>
        <v>59038</v>
      </c>
      <c r="C690" t="s">
        <v>15</v>
      </c>
      <c r="D690" s="1">
        <v>77</v>
      </c>
      <c r="E690">
        <v>63</v>
      </c>
      <c r="F690">
        <v>0</v>
      </c>
      <c r="G690">
        <v>0</v>
      </c>
      <c r="H690">
        <v>415</v>
      </c>
      <c r="I690" s="2">
        <f>((E690+G690)/H690)*100</f>
        <v>15.180722891566264</v>
      </c>
      <c r="J690" cm="1">
        <f t="array" ref="J690">IF(AND(I690&gt;=0,I690&lt;=20),0,IF(AND(I690&gt;20,I690&lt;=40),1, IF(AND(I690&gt;40,I690&lt;=60),2,IF(AND(I690&gt;60,I690&lt;=80),3, IF(AND(I690&gt;80,I690&lt;=100),4,”5”)))))</f>
        <v>0</v>
      </c>
    </row>
    <row r="691" spans="1:10" x14ac:dyDescent="0.3">
      <c r="A691" t="str">
        <f t="shared" si="14"/>
        <v>59038_78</v>
      </c>
      <c r="B691">
        <f>VLOOKUP(C691,[1]lookuptable!$A$1:$C$7,2,0)</f>
        <v>59038</v>
      </c>
      <c r="C691" t="s">
        <v>15</v>
      </c>
      <c r="D691" s="1">
        <v>78</v>
      </c>
      <c r="E691">
        <v>2</v>
      </c>
      <c r="F691">
        <v>263</v>
      </c>
      <c r="G691">
        <v>265</v>
      </c>
      <c r="H691">
        <v>865</v>
      </c>
      <c r="I691" s="2">
        <v>30.635838150000001</v>
      </c>
      <c r="J691" cm="1">
        <f t="array" ref="J691">IF(AND(I691&gt;=0,I691&lt;=20),0,IF(AND(I691&gt;20,I691&lt;=40),1, IF(AND(I691&gt;40,I691&lt;=60),2,IF(AND(I691&gt;60,I691&lt;=80),3, IF(AND(I691&gt;80,I691&lt;=100),4,”5”)))))</f>
        <v>1</v>
      </c>
    </row>
    <row r="692" spans="1:10" x14ac:dyDescent="0.3">
      <c r="A692" t="str">
        <f t="shared" si="14"/>
        <v>59038_79</v>
      </c>
      <c r="B692">
        <f>VLOOKUP(C692,[1]lookuptable!$A$1:$C$7,2,0)</f>
        <v>59038</v>
      </c>
      <c r="C692" t="s">
        <v>15</v>
      </c>
      <c r="D692" s="1">
        <v>79</v>
      </c>
      <c r="E692">
        <v>3</v>
      </c>
      <c r="F692">
        <v>230</v>
      </c>
      <c r="G692">
        <v>233</v>
      </c>
      <c r="H692">
        <v>453</v>
      </c>
      <c r="I692" s="2">
        <v>51.434878589999997</v>
      </c>
      <c r="J692" cm="1">
        <f t="array" ref="J692">IF(AND(I692&gt;=0,I692&lt;=20),0,IF(AND(I692&gt;20,I692&lt;=40),1, IF(AND(I692&gt;40,I692&lt;=60),2,IF(AND(I692&gt;60,I692&lt;=80),3, IF(AND(I692&gt;80,I692&lt;=100),4,”5”)))))</f>
        <v>2</v>
      </c>
    </row>
    <row r="693" spans="1:10" x14ac:dyDescent="0.3">
      <c r="A693" t="str">
        <f t="shared" si="14"/>
        <v>59038_80</v>
      </c>
      <c r="B693">
        <f>VLOOKUP(C693,[1]lookuptable!$A$1:$C$7,2,0)</f>
        <v>59038</v>
      </c>
      <c r="C693" t="s">
        <v>15</v>
      </c>
      <c r="D693" s="1">
        <v>80</v>
      </c>
      <c r="E693">
        <v>79</v>
      </c>
      <c r="F693">
        <v>0</v>
      </c>
      <c r="G693">
        <v>0</v>
      </c>
      <c r="H693">
        <v>380</v>
      </c>
      <c r="I693" s="2">
        <f>((E693+G693)/H693)*100</f>
        <v>20.789473684210527</v>
      </c>
      <c r="J693" cm="1">
        <f t="array" ref="J693">IF(AND(I693&gt;=0,I693&lt;=20),0,IF(AND(I693&gt;20,I693&lt;=40),1, IF(AND(I693&gt;40,I693&lt;=60),2,IF(AND(I693&gt;60,I693&lt;=80),3, IF(AND(I693&gt;80,I693&lt;=100),4,”5”)))))</f>
        <v>1</v>
      </c>
    </row>
    <row r="694" spans="1:10" x14ac:dyDescent="0.3">
      <c r="A694" t="str">
        <f t="shared" si="14"/>
        <v>59038_81</v>
      </c>
      <c r="B694">
        <f>VLOOKUP(C694,[1]lookuptable!$A$1:$C$7,2,0)</f>
        <v>59038</v>
      </c>
      <c r="C694" t="s">
        <v>15</v>
      </c>
      <c r="D694" s="1">
        <v>81</v>
      </c>
      <c r="E694">
        <v>1</v>
      </c>
      <c r="F694">
        <v>134</v>
      </c>
      <c r="G694">
        <v>135</v>
      </c>
      <c r="H694">
        <v>446</v>
      </c>
      <c r="I694" s="2">
        <v>30.269058300000001</v>
      </c>
      <c r="J694" cm="1">
        <f t="array" ref="J694">IF(AND(I694&gt;=0,I694&lt;=20),0,IF(AND(I694&gt;20,I694&lt;=40),1, IF(AND(I694&gt;40,I694&lt;=60),2,IF(AND(I694&gt;60,I694&lt;=80),3, IF(AND(I694&gt;80,I694&lt;=100),4,”5”)))))</f>
        <v>1</v>
      </c>
    </row>
    <row r="695" spans="1:10" x14ac:dyDescent="0.3">
      <c r="A695" t="str">
        <f t="shared" si="14"/>
        <v>59038_82</v>
      </c>
      <c r="B695">
        <f>VLOOKUP(C695,[1]lookuptable!$A$1:$C$7,2,0)</f>
        <v>59038</v>
      </c>
      <c r="C695" t="s">
        <v>15</v>
      </c>
      <c r="D695" s="1">
        <v>82</v>
      </c>
      <c r="E695">
        <v>1</v>
      </c>
      <c r="F695">
        <v>166</v>
      </c>
      <c r="G695">
        <v>167</v>
      </c>
      <c r="H695">
        <v>476</v>
      </c>
      <c r="I695" s="2">
        <v>35.084033609999999</v>
      </c>
      <c r="J695" cm="1">
        <f t="array" ref="J695">IF(AND(I695&gt;=0,I695&lt;=20),0,IF(AND(I695&gt;20,I695&lt;=40),1, IF(AND(I695&gt;40,I695&lt;=60),2,IF(AND(I695&gt;60,I695&lt;=80),3, IF(AND(I695&gt;80,I695&lt;=100),4,”5”)))))</f>
        <v>1</v>
      </c>
    </row>
    <row r="696" spans="1:10" x14ac:dyDescent="0.3">
      <c r="A696" t="str">
        <f t="shared" si="14"/>
        <v>59038_83</v>
      </c>
      <c r="B696">
        <f>VLOOKUP(C696,[1]lookuptable!$A$1:$C$7,2,0)</f>
        <v>59038</v>
      </c>
      <c r="C696" t="s">
        <v>15</v>
      </c>
      <c r="D696" s="1">
        <v>83</v>
      </c>
      <c r="E696">
        <v>0</v>
      </c>
      <c r="F696">
        <v>163</v>
      </c>
      <c r="G696">
        <v>163</v>
      </c>
      <c r="H696">
        <v>459</v>
      </c>
      <c r="I696" s="2">
        <v>35.511982570000001</v>
      </c>
      <c r="J696" cm="1">
        <f t="array" ref="J696">IF(AND(I696&gt;=0,I696&lt;=20),0,IF(AND(I696&gt;20,I696&lt;=40),1, IF(AND(I696&gt;40,I696&lt;=60),2,IF(AND(I696&gt;60,I696&lt;=80),3, IF(AND(I696&gt;80,I696&lt;=100),4,”5”)))))</f>
        <v>1</v>
      </c>
    </row>
    <row r="697" spans="1:10" x14ac:dyDescent="0.3">
      <c r="A697" t="str">
        <f t="shared" si="14"/>
        <v>59038_84</v>
      </c>
      <c r="B697">
        <f>VLOOKUP(C697,[1]lookuptable!$A$1:$C$7,2,0)</f>
        <v>59038</v>
      </c>
      <c r="C697" t="s">
        <v>15</v>
      </c>
      <c r="D697" s="1">
        <v>84</v>
      </c>
      <c r="E697">
        <v>1</v>
      </c>
      <c r="F697">
        <v>175</v>
      </c>
      <c r="G697">
        <v>176</v>
      </c>
      <c r="H697">
        <v>428</v>
      </c>
      <c r="I697" s="2">
        <v>41.121495330000002</v>
      </c>
      <c r="J697" cm="1">
        <f t="array" ref="J697">IF(AND(I697&gt;=0,I697&lt;=20),0,IF(AND(I697&gt;20,I697&lt;=40),1, IF(AND(I697&gt;40,I697&lt;=60),2,IF(AND(I697&gt;60,I697&lt;=80),3, IF(AND(I697&gt;80,I697&lt;=100),4,”5”)))))</f>
        <v>2</v>
      </c>
    </row>
    <row r="698" spans="1:10" x14ac:dyDescent="0.3">
      <c r="A698" t="str">
        <f t="shared" si="14"/>
        <v>59038_85</v>
      </c>
      <c r="B698">
        <f>VLOOKUP(C698,[1]lookuptable!$A$1:$C$7,2,0)</f>
        <v>59038</v>
      </c>
      <c r="C698" t="s">
        <v>15</v>
      </c>
      <c r="D698" s="1">
        <v>85</v>
      </c>
      <c r="E698">
        <v>2</v>
      </c>
      <c r="F698">
        <v>248</v>
      </c>
      <c r="G698">
        <v>250</v>
      </c>
      <c r="H698">
        <v>427</v>
      </c>
      <c r="I698" s="2">
        <v>58.548009370000003</v>
      </c>
      <c r="J698" cm="1">
        <f t="array" ref="J698">IF(AND(I698&gt;=0,I698&lt;=20),0,IF(AND(I698&gt;20,I698&lt;=40),1, IF(AND(I698&gt;40,I698&lt;=60),2,IF(AND(I698&gt;60,I698&lt;=80),3, IF(AND(I698&gt;80,I698&lt;=100),4,”5”)))))</f>
        <v>2</v>
      </c>
    </row>
    <row r="699" spans="1:10" x14ac:dyDescent="0.3">
      <c r="A699" t="str">
        <f t="shared" si="14"/>
        <v>59038_86</v>
      </c>
      <c r="B699">
        <f>VLOOKUP(C699,[1]lookuptable!$A$1:$C$7,2,0)</f>
        <v>59038</v>
      </c>
      <c r="C699" t="s">
        <v>15</v>
      </c>
      <c r="D699" s="1">
        <v>86</v>
      </c>
      <c r="E699">
        <v>3</v>
      </c>
      <c r="F699">
        <v>221</v>
      </c>
      <c r="G699">
        <v>224</v>
      </c>
      <c r="H699">
        <v>520</v>
      </c>
      <c r="I699" s="2">
        <v>43.07692308</v>
      </c>
      <c r="J699" cm="1">
        <f t="array" ref="J699">IF(AND(I699&gt;=0,I699&lt;=20),0,IF(AND(I699&gt;20,I699&lt;=40),1, IF(AND(I699&gt;40,I699&lt;=60),2,IF(AND(I699&gt;60,I699&lt;=80),3, IF(AND(I699&gt;80,I699&lt;=100),4,”5”)))))</f>
        <v>2</v>
      </c>
    </row>
    <row r="700" spans="1:10" x14ac:dyDescent="0.3">
      <c r="A700" t="str">
        <f t="shared" si="14"/>
        <v>59038_87</v>
      </c>
      <c r="B700">
        <f>VLOOKUP(C700,[1]lookuptable!$A$1:$C$7,2,0)</f>
        <v>59038</v>
      </c>
      <c r="C700" t="s">
        <v>15</v>
      </c>
      <c r="D700" s="1">
        <v>87</v>
      </c>
      <c r="E700">
        <v>3</v>
      </c>
      <c r="F700">
        <v>193</v>
      </c>
      <c r="G700">
        <v>196</v>
      </c>
      <c r="H700">
        <v>423</v>
      </c>
      <c r="I700" s="2">
        <v>46.335697400000001</v>
      </c>
      <c r="J700" cm="1">
        <f t="array" ref="J700">IF(AND(I700&gt;=0,I700&lt;=20),0,IF(AND(I700&gt;20,I700&lt;=40),1, IF(AND(I700&gt;40,I700&lt;=60),2,IF(AND(I700&gt;60,I700&lt;=80),3, IF(AND(I700&gt;80,I700&lt;=100),4,”5”)))))</f>
        <v>2</v>
      </c>
    </row>
    <row r="701" spans="1:10" x14ac:dyDescent="0.3">
      <c r="A701" t="str">
        <f t="shared" si="14"/>
        <v>59038_88</v>
      </c>
      <c r="B701">
        <f>VLOOKUP(C701,[1]lookuptable!$A$1:$C$7,2,0)</f>
        <v>59038</v>
      </c>
      <c r="C701" t="s">
        <v>15</v>
      </c>
      <c r="D701" s="1">
        <v>88</v>
      </c>
      <c r="E701">
        <v>90</v>
      </c>
      <c r="F701">
        <v>0</v>
      </c>
      <c r="G701">
        <v>0</v>
      </c>
      <c r="H701">
        <v>348</v>
      </c>
      <c r="I701" s="2">
        <f>((E701+G701)/H701)*100</f>
        <v>25.862068965517242</v>
      </c>
      <c r="J701" cm="1">
        <f t="array" ref="J701">IF(AND(I701&gt;=0,I701&lt;=20),0,IF(AND(I701&gt;20,I701&lt;=40),1, IF(AND(I701&gt;40,I701&lt;=60),2,IF(AND(I701&gt;60,I701&lt;=80),3, IF(AND(I701&gt;80,I701&lt;=100),4,”5”)))))</f>
        <v>1</v>
      </c>
    </row>
    <row r="702" spans="1:10" x14ac:dyDescent="0.3">
      <c r="A702" t="str">
        <f t="shared" si="14"/>
        <v>59038_89</v>
      </c>
      <c r="B702">
        <f>VLOOKUP(C702,[1]lookuptable!$A$1:$C$7,2,0)</f>
        <v>59038</v>
      </c>
      <c r="C702" t="s">
        <v>15</v>
      </c>
      <c r="D702" s="1">
        <v>89</v>
      </c>
      <c r="E702">
        <v>1</v>
      </c>
      <c r="F702">
        <v>153</v>
      </c>
      <c r="G702">
        <v>154</v>
      </c>
      <c r="H702">
        <v>387</v>
      </c>
      <c r="I702" s="2">
        <v>39.793281649999997</v>
      </c>
      <c r="J702" cm="1">
        <f t="array" ref="J702">IF(AND(I702&gt;=0,I702&lt;=20),0,IF(AND(I702&gt;20,I702&lt;=40),1, IF(AND(I702&gt;40,I702&lt;=60),2,IF(AND(I702&gt;60,I702&lt;=80),3, IF(AND(I702&gt;80,I702&lt;=100),4,”5”)))))</f>
        <v>1</v>
      </c>
    </row>
    <row r="703" spans="1:10" x14ac:dyDescent="0.3">
      <c r="A703" t="str">
        <f t="shared" si="14"/>
        <v>59038_90</v>
      </c>
      <c r="B703">
        <f>VLOOKUP(C703,[1]lookuptable!$A$1:$C$7,2,0)</f>
        <v>59038</v>
      </c>
      <c r="C703" t="s">
        <v>15</v>
      </c>
      <c r="D703" s="1">
        <v>90</v>
      </c>
      <c r="E703">
        <v>0</v>
      </c>
      <c r="F703">
        <v>271</v>
      </c>
      <c r="G703">
        <v>271</v>
      </c>
      <c r="H703">
        <v>426</v>
      </c>
      <c r="I703" s="2">
        <v>63.615023469999997</v>
      </c>
      <c r="J703" cm="1">
        <f t="array" ref="J703">IF(AND(I703&gt;=0,I703&lt;=20),0,IF(AND(I703&gt;20,I703&lt;=40),1, IF(AND(I703&gt;40,I703&lt;=60),2,IF(AND(I703&gt;60,I703&lt;=80),3, IF(AND(I703&gt;80,I703&lt;=100),4,”5”)))))</f>
        <v>3</v>
      </c>
    </row>
    <row r="704" spans="1:10" x14ac:dyDescent="0.3">
      <c r="A704" t="str">
        <f t="shared" si="14"/>
        <v>59038_91</v>
      </c>
      <c r="B704">
        <f>VLOOKUP(C704,[1]lookuptable!$A$1:$C$7,2,0)</f>
        <v>59038</v>
      </c>
      <c r="C704" t="s">
        <v>15</v>
      </c>
      <c r="D704" s="1">
        <v>91</v>
      </c>
      <c r="E704">
        <v>2</v>
      </c>
      <c r="F704">
        <v>213</v>
      </c>
      <c r="G704">
        <v>215</v>
      </c>
      <c r="H704">
        <v>458</v>
      </c>
      <c r="I704" s="2">
        <v>46.943231439999998</v>
      </c>
      <c r="J704" cm="1">
        <f t="array" ref="J704">IF(AND(I704&gt;=0,I704&lt;=20),0,IF(AND(I704&gt;20,I704&lt;=40),1, IF(AND(I704&gt;40,I704&lt;=60),2,IF(AND(I704&gt;60,I704&lt;=80),3, IF(AND(I704&gt;80,I704&lt;=100),4,”5”)))))</f>
        <v>2</v>
      </c>
    </row>
    <row r="705" spans="1:10" x14ac:dyDescent="0.3">
      <c r="A705" t="str">
        <f t="shared" si="14"/>
        <v>59038_92</v>
      </c>
      <c r="B705">
        <f>VLOOKUP(C705,[1]lookuptable!$A$1:$C$7,2,0)</f>
        <v>59038</v>
      </c>
      <c r="C705" t="s">
        <v>15</v>
      </c>
      <c r="D705" s="1">
        <v>92</v>
      </c>
      <c r="E705">
        <v>0</v>
      </c>
      <c r="F705">
        <v>155</v>
      </c>
      <c r="G705">
        <v>155</v>
      </c>
      <c r="H705">
        <v>409</v>
      </c>
      <c r="I705" s="2">
        <v>37.897310509999997</v>
      </c>
      <c r="J705" cm="1">
        <f t="array" ref="J705">IF(AND(I705&gt;=0,I705&lt;=20),0,IF(AND(I705&gt;20,I705&lt;=40),1, IF(AND(I705&gt;40,I705&lt;=60),2,IF(AND(I705&gt;60,I705&lt;=80),3, IF(AND(I705&gt;80,I705&lt;=100),4,”5”)))))</f>
        <v>1</v>
      </c>
    </row>
    <row r="706" spans="1:10" x14ac:dyDescent="0.3">
      <c r="A706" t="str">
        <f t="shared" ref="A706:A769" si="15">CONCATENATE(B706,"_",D706)</f>
        <v>59038_93</v>
      </c>
      <c r="B706">
        <f>VLOOKUP(C706,[1]lookuptable!$A$1:$C$7,2,0)</f>
        <v>59038</v>
      </c>
      <c r="C706" t="s">
        <v>15</v>
      </c>
      <c r="D706" s="1">
        <v>93</v>
      </c>
      <c r="E706">
        <v>0</v>
      </c>
      <c r="F706">
        <v>191</v>
      </c>
      <c r="G706">
        <v>191</v>
      </c>
      <c r="H706">
        <v>384</v>
      </c>
      <c r="I706" s="2">
        <v>49.739583330000002</v>
      </c>
      <c r="J706" cm="1">
        <f t="array" ref="J706">IF(AND(I706&gt;=0,I706&lt;=20),0,IF(AND(I706&gt;20,I706&lt;=40),1, IF(AND(I706&gt;40,I706&lt;=60),2,IF(AND(I706&gt;60,I706&lt;=80),3, IF(AND(I706&gt;80,I706&lt;=100),4,”5”)))))</f>
        <v>2</v>
      </c>
    </row>
    <row r="707" spans="1:10" x14ac:dyDescent="0.3">
      <c r="A707" t="str">
        <f t="shared" si="15"/>
        <v>59038_94</v>
      </c>
      <c r="B707">
        <f>VLOOKUP(C707,[1]lookuptable!$A$1:$C$7,2,0)</f>
        <v>59038</v>
      </c>
      <c r="C707" t="s">
        <v>15</v>
      </c>
      <c r="D707" s="1">
        <v>94</v>
      </c>
      <c r="E707">
        <v>1</v>
      </c>
      <c r="F707">
        <v>182</v>
      </c>
      <c r="G707">
        <v>183</v>
      </c>
      <c r="H707">
        <v>485</v>
      </c>
      <c r="I707" s="2">
        <v>37.731958759999998</v>
      </c>
      <c r="J707" cm="1">
        <f t="array" ref="J707">IF(AND(I707&gt;=0,I707&lt;=20),0,IF(AND(I707&gt;20,I707&lt;=40),1, IF(AND(I707&gt;40,I707&lt;=60),2,IF(AND(I707&gt;60,I707&lt;=80),3, IF(AND(I707&gt;80,I707&lt;=100),4,”5”)))))</f>
        <v>1</v>
      </c>
    </row>
    <row r="708" spans="1:10" x14ac:dyDescent="0.3">
      <c r="A708" t="str">
        <f t="shared" si="15"/>
        <v>59038_95</v>
      </c>
      <c r="B708">
        <f>VLOOKUP(C708,[1]lookuptable!$A$1:$C$7,2,0)</f>
        <v>59038</v>
      </c>
      <c r="C708" t="s">
        <v>15</v>
      </c>
      <c r="D708" s="1">
        <v>95</v>
      </c>
      <c r="E708">
        <v>1</v>
      </c>
      <c r="F708">
        <v>180</v>
      </c>
      <c r="G708">
        <v>181</v>
      </c>
      <c r="H708">
        <v>472</v>
      </c>
      <c r="I708" s="2">
        <v>38.347457630000001</v>
      </c>
      <c r="J708" cm="1">
        <f t="array" ref="J708">IF(AND(I708&gt;=0,I708&lt;=20),0,IF(AND(I708&gt;20,I708&lt;=40),1, IF(AND(I708&gt;40,I708&lt;=60),2,IF(AND(I708&gt;60,I708&lt;=80),3, IF(AND(I708&gt;80,I708&lt;=100),4,”5”)))))</f>
        <v>1</v>
      </c>
    </row>
    <row r="709" spans="1:10" x14ac:dyDescent="0.3">
      <c r="A709" t="str">
        <f t="shared" si="15"/>
        <v>59038_96</v>
      </c>
      <c r="B709">
        <f>VLOOKUP(C709,[1]lookuptable!$A$1:$C$7,2,0)</f>
        <v>59038</v>
      </c>
      <c r="C709" t="s">
        <v>15</v>
      </c>
      <c r="D709" s="1">
        <v>96</v>
      </c>
      <c r="E709">
        <v>1</v>
      </c>
      <c r="F709">
        <v>164</v>
      </c>
      <c r="G709">
        <v>165</v>
      </c>
      <c r="H709">
        <v>408</v>
      </c>
      <c r="I709" s="2">
        <v>40.441176470000002</v>
      </c>
      <c r="J709" cm="1">
        <f t="array" ref="J709">IF(AND(I709&gt;=0,I709&lt;=20),0,IF(AND(I709&gt;20,I709&lt;=40),1, IF(AND(I709&gt;40,I709&lt;=60),2,IF(AND(I709&gt;60,I709&lt;=80),3, IF(AND(I709&gt;80,I709&lt;=100),4,”5”)))))</f>
        <v>2</v>
      </c>
    </row>
    <row r="710" spans="1:10" x14ac:dyDescent="0.3">
      <c r="A710" t="str">
        <f t="shared" si="15"/>
        <v>59038_97</v>
      </c>
      <c r="B710">
        <f>VLOOKUP(C710,[1]lookuptable!$A$1:$C$7,2,0)</f>
        <v>59038</v>
      </c>
      <c r="C710" t="s">
        <v>15</v>
      </c>
      <c r="D710" s="1">
        <v>97</v>
      </c>
      <c r="E710">
        <v>1</v>
      </c>
      <c r="F710">
        <v>152</v>
      </c>
      <c r="G710">
        <v>153</v>
      </c>
      <c r="H710">
        <v>370</v>
      </c>
      <c r="I710" s="2">
        <v>41.351351350000002</v>
      </c>
      <c r="J710" cm="1">
        <f t="array" ref="J710">IF(AND(I710&gt;=0,I710&lt;=20),0,IF(AND(I710&gt;20,I710&lt;=40),1, IF(AND(I710&gt;40,I710&lt;=60),2,IF(AND(I710&gt;60,I710&lt;=80),3, IF(AND(I710&gt;80,I710&lt;=100),4,”5”)))))</f>
        <v>2</v>
      </c>
    </row>
    <row r="711" spans="1:10" x14ac:dyDescent="0.3">
      <c r="A711" t="str">
        <f t="shared" si="15"/>
        <v>59038_98</v>
      </c>
      <c r="B711">
        <f>VLOOKUP(C711,[1]lookuptable!$A$1:$C$7,2,0)</f>
        <v>59038</v>
      </c>
      <c r="C711" t="s">
        <v>15</v>
      </c>
      <c r="D711" s="1">
        <v>98</v>
      </c>
      <c r="E711">
        <v>1</v>
      </c>
      <c r="F711">
        <v>158</v>
      </c>
      <c r="G711">
        <v>159</v>
      </c>
      <c r="H711">
        <v>438</v>
      </c>
      <c r="I711" s="2">
        <v>36.301369860000001</v>
      </c>
      <c r="J711" cm="1">
        <f t="array" ref="J711">IF(AND(I711&gt;=0,I711&lt;=20),0,IF(AND(I711&gt;20,I711&lt;=40),1, IF(AND(I711&gt;40,I711&lt;=60),2,IF(AND(I711&gt;60,I711&lt;=80),3, IF(AND(I711&gt;80,I711&lt;=100),4,”5”)))))</f>
        <v>1</v>
      </c>
    </row>
    <row r="712" spans="1:10" x14ac:dyDescent="0.3">
      <c r="A712" t="str">
        <f t="shared" si="15"/>
        <v>59038_99</v>
      </c>
      <c r="B712">
        <f>VLOOKUP(C712,[1]lookuptable!$A$1:$C$7,2,0)</f>
        <v>59038</v>
      </c>
      <c r="C712" t="s">
        <v>15</v>
      </c>
      <c r="D712" s="1">
        <v>99</v>
      </c>
      <c r="E712">
        <v>4</v>
      </c>
      <c r="F712">
        <v>184</v>
      </c>
      <c r="G712">
        <v>188</v>
      </c>
      <c r="H712">
        <v>471</v>
      </c>
      <c r="I712" s="2">
        <v>39.915074310000001</v>
      </c>
      <c r="J712" cm="1">
        <f t="array" ref="J712">IF(AND(I712&gt;=0,I712&lt;=20),0,IF(AND(I712&gt;20,I712&lt;=40),1, IF(AND(I712&gt;40,I712&lt;=60),2,IF(AND(I712&gt;60,I712&lt;=80),3, IF(AND(I712&gt;80,I712&lt;=100),4,”5”)))))</f>
        <v>1</v>
      </c>
    </row>
    <row r="713" spans="1:10" x14ac:dyDescent="0.3">
      <c r="A713" t="str">
        <f t="shared" si="15"/>
        <v>59038_100</v>
      </c>
      <c r="B713">
        <f>VLOOKUP(C713,[1]lookuptable!$A$1:$C$7,2,0)</f>
        <v>59038</v>
      </c>
      <c r="C713" t="s">
        <v>15</v>
      </c>
      <c r="D713" s="1">
        <v>100</v>
      </c>
      <c r="E713">
        <v>1</v>
      </c>
      <c r="F713">
        <v>124</v>
      </c>
      <c r="G713">
        <v>125</v>
      </c>
      <c r="H713">
        <v>439</v>
      </c>
      <c r="I713" s="2">
        <v>28.473804099999999</v>
      </c>
      <c r="J713" cm="1">
        <f t="array" ref="J713">IF(AND(I713&gt;=0,I713&lt;=20),0,IF(AND(I713&gt;20,I713&lt;=40),1, IF(AND(I713&gt;40,I713&lt;=60),2,IF(AND(I713&gt;60,I713&lt;=80),3, IF(AND(I713&gt;80,I713&lt;=100),4,”5”)))))</f>
        <v>1</v>
      </c>
    </row>
    <row r="714" spans="1:10" x14ac:dyDescent="0.3">
      <c r="A714" t="str">
        <f t="shared" si="15"/>
        <v>59038_101</v>
      </c>
      <c r="B714">
        <f>VLOOKUP(C714,[1]lookuptable!$A$1:$C$7,2,0)</f>
        <v>59038</v>
      </c>
      <c r="C714" t="s">
        <v>15</v>
      </c>
      <c r="D714" s="1">
        <v>101</v>
      </c>
      <c r="E714">
        <v>2</v>
      </c>
      <c r="F714">
        <v>205</v>
      </c>
      <c r="G714">
        <v>207</v>
      </c>
      <c r="H714">
        <v>515</v>
      </c>
      <c r="I714" s="2">
        <v>40.194174760000003</v>
      </c>
      <c r="J714" cm="1">
        <f t="array" ref="J714">IF(AND(I714&gt;=0,I714&lt;=20),0,IF(AND(I714&gt;20,I714&lt;=40),1, IF(AND(I714&gt;40,I714&lt;=60),2,IF(AND(I714&gt;60,I714&lt;=80),3, IF(AND(I714&gt;80,I714&lt;=100),4,”5”)))))</f>
        <v>2</v>
      </c>
    </row>
    <row r="715" spans="1:10" x14ac:dyDescent="0.3">
      <c r="A715" t="str">
        <f t="shared" si="15"/>
        <v>59038_102</v>
      </c>
      <c r="B715">
        <f>VLOOKUP(C715,[1]lookuptable!$A$1:$C$7,2,0)</f>
        <v>59038</v>
      </c>
      <c r="C715" t="s">
        <v>15</v>
      </c>
      <c r="D715" s="1">
        <v>102</v>
      </c>
      <c r="E715">
        <v>1</v>
      </c>
      <c r="F715">
        <v>136</v>
      </c>
      <c r="G715">
        <v>137</v>
      </c>
      <c r="H715">
        <v>463</v>
      </c>
      <c r="I715" s="2">
        <v>29.589632829999999</v>
      </c>
      <c r="J715" cm="1">
        <f t="array" ref="J715">IF(AND(I715&gt;=0,I715&lt;=20),0,IF(AND(I715&gt;20,I715&lt;=40),1, IF(AND(I715&gt;40,I715&lt;=60),2,IF(AND(I715&gt;60,I715&lt;=80),3, IF(AND(I715&gt;80,I715&lt;=100),4,”5”)))))</f>
        <v>1</v>
      </c>
    </row>
    <row r="716" spans="1:10" x14ac:dyDescent="0.3">
      <c r="A716" t="str">
        <f t="shared" si="15"/>
        <v>59038_103</v>
      </c>
      <c r="B716">
        <f>VLOOKUP(C716,[1]lookuptable!$A$1:$C$7,2,0)</f>
        <v>59038</v>
      </c>
      <c r="C716" t="s">
        <v>15</v>
      </c>
      <c r="D716" s="1">
        <v>103</v>
      </c>
      <c r="E716">
        <v>106</v>
      </c>
      <c r="F716">
        <v>0</v>
      </c>
      <c r="G716">
        <v>0</v>
      </c>
      <c r="H716">
        <v>411</v>
      </c>
      <c r="I716" s="2">
        <f>((E716+G716)/H716)*100</f>
        <v>25.790754257907544</v>
      </c>
      <c r="J716" cm="1">
        <f t="array" ref="J716">IF(AND(I716&gt;=0,I716&lt;=20),0,IF(AND(I716&gt;20,I716&lt;=40),1, IF(AND(I716&gt;40,I716&lt;=60),2,IF(AND(I716&gt;60,I716&lt;=80),3, IF(AND(I716&gt;80,I716&lt;=100),4,”5”)))))</f>
        <v>1</v>
      </c>
    </row>
    <row r="717" spans="1:10" x14ac:dyDescent="0.3">
      <c r="A717" t="str">
        <f t="shared" si="15"/>
        <v>59038_104</v>
      </c>
      <c r="B717">
        <f>VLOOKUP(C717,[1]lookuptable!$A$1:$C$7,2,0)</f>
        <v>59038</v>
      </c>
      <c r="C717" t="s">
        <v>15</v>
      </c>
      <c r="D717" s="1">
        <v>104</v>
      </c>
      <c r="E717">
        <v>0</v>
      </c>
      <c r="F717">
        <v>192</v>
      </c>
      <c r="G717">
        <v>192</v>
      </c>
      <c r="H717">
        <v>477</v>
      </c>
      <c r="I717" s="2">
        <v>40.251572330000002</v>
      </c>
      <c r="J717" cm="1">
        <f t="array" ref="J717">IF(AND(I717&gt;=0,I717&lt;=20),0,IF(AND(I717&gt;20,I717&lt;=40),1, IF(AND(I717&gt;40,I717&lt;=60),2,IF(AND(I717&gt;60,I717&lt;=80),3, IF(AND(I717&gt;80,I717&lt;=100),4,”5”)))))</f>
        <v>2</v>
      </c>
    </row>
    <row r="718" spans="1:10" x14ac:dyDescent="0.3">
      <c r="A718" t="str">
        <f t="shared" si="15"/>
        <v>59038_105</v>
      </c>
      <c r="B718">
        <f>VLOOKUP(C718,[1]lookuptable!$A$1:$C$7,2,0)</f>
        <v>59038</v>
      </c>
      <c r="C718" t="s">
        <v>15</v>
      </c>
      <c r="D718" s="1">
        <v>105</v>
      </c>
      <c r="E718">
        <v>3</v>
      </c>
      <c r="F718">
        <v>173</v>
      </c>
      <c r="G718">
        <v>176</v>
      </c>
      <c r="H718">
        <v>491</v>
      </c>
      <c r="I718" s="2">
        <v>35.84521385</v>
      </c>
      <c r="J718" cm="1">
        <f t="array" ref="J718">IF(AND(I718&gt;=0,I718&lt;=20),0,IF(AND(I718&gt;20,I718&lt;=40),1, IF(AND(I718&gt;40,I718&lt;=60),2,IF(AND(I718&gt;60,I718&lt;=80),3, IF(AND(I718&gt;80,I718&lt;=100),4,”5”)))))</f>
        <v>1</v>
      </c>
    </row>
    <row r="719" spans="1:10" x14ac:dyDescent="0.3">
      <c r="A719" t="str">
        <f t="shared" si="15"/>
        <v>59038_106</v>
      </c>
      <c r="B719">
        <f>VLOOKUP(C719,[1]lookuptable!$A$1:$C$7,2,0)</f>
        <v>59038</v>
      </c>
      <c r="C719" t="s">
        <v>15</v>
      </c>
      <c r="D719" s="1">
        <v>106</v>
      </c>
      <c r="E719">
        <v>2</v>
      </c>
      <c r="F719">
        <v>236</v>
      </c>
      <c r="G719">
        <v>238</v>
      </c>
      <c r="H719">
        <v>436</v>
      </c>
      <c r="I719" s="2">
        <v>54.587155959999997</v>
      </c>
      <c r="J719" cm="1">
        <f t="array" ref="J719">IF(AND(I719&gt;=0,I719&lt;=20),0,IF(AND(I719&gt;20,I719&lt;=40),1, IF(AND(I719&gt;40,I719&lt;=60),2,IF(AND(I719&gt;60,I719&lt;=80),3, IF(AND(I719&gt;80,I719&lt;=100),4,”5”)))))</f>
        <v>2</v>
      </c>
    </row>
    <row r="720" spans="1:10" x14ac:dyDescent="0.3">
      <c r="A720" t="str">
        <f t="shared" si="15"/>
        <v>59038_107</v>
      </c>
      <c r="B720">
        <f>VLOOKUP(C720,[1]lookuptable!$A$1:$C$7,2,0)</f>
        <v>59038</v>
      </c>
      <c r="C720" t="s">
        <v>15</v>
      </c>
      <c r="D720" s="1">
        <v>107</v>
      </c>
      <c r="E720">
        <v>3</v>
      </c>
      <c r="F720">
        <v>197</v>
      </c>
      <c r="G720">
        <v>200</v>
      </c>
      <c r="H720">
        <v>517</v>
      </c>
      <c r="I720" s="2">
        <v>38.684719540000003</v>
      </c>
      <c r="J720" cm="1">
        <f t="array" ref="J720">IF(AND(I720&gt;=0,I720&lt;=20),0,IF(AND(I720&gt;20,I720&lt;=40),1, IF(AND(I720&gt;40,I720&lt;=60),2,IF(AND(I720&gt;60,I720&lt;=80),3, IF(AND(I720&gt;80,I720&lt;=100),4,”5”)))))</f>
        <v>1</v>
      </c>
    </row>
    <row r="721" spans="1:10" x14ac:dyDescent="0.3">
      <c r="A721" t="str">
        <f t="shared" si="15"/>
        <v>59038_108</v>
      </c>
      <c r="B721">
        <f>VLOOKUP(C721,[1]lookuptable!$A$1:$C$7,2,0)</f>
        <v>59038</v>
      </c>
      <c r="C721" t="s">
        <v>15</v>
      </c>
      <c r="D721" s="1">
        <v>108</v>
      </c>
      <c r="E721">
        <v>3</v>
      </c>
      <c r="F721">
        <v>264</v>
      </c>
      <c r="G721">
        <v>267</v>
      </c>
      <c r="H721">
        <v>466</v>
      </c>
      <c r="I721" s="2">
        <v>57.296137340000001</v>
      </c>
      <c r="J721" cm="1">
        <f t="array" ref="J721">IF(AND(I721&gt;=0,I721&lt;=20),0,IF(AND(I721&gt;20,I721&lt;=40),1, IF(AND(I721&gt;40,I721&lt;=60),2,IF(AND(I721&gt;60,I721&lt;=80),3, IF(AND(I721&gt;80,I721&lt;=100),4,”5”)))))</f>
        <v>2</v>
      </c>
    </row>
    <row r="722" spans="1:10" x14ac:dyDescent="0.3">
      <c r="A722" t="str">
        <f t="shared" si="15"/>
        <v>59038_109</v>
      </c>
      <c r="B722">
        <f>VLOOKUP(C722,[1]lookuptable!$A$1:$C$7,2,0)</f>
        <v>59038</v>
      </c>
      <c r="C722" t="s">
        <v>15</v>
      </c>
      <c r="D722" s="1">
        <v>109</v>
      </c>
      <c r="E722">
        <v>1</v>
      </c>
      <c r="F722">
        <v>129</v>
      </c>
      <c r="G722">
        <v>130</v>
      </c>
      <c r="H722">
        <v>532</v>
      </c>
      <c r="I722" s="2">
        <v>24.436090230000001</v>
      </c>
      <c r="J722" cm="1">
        <f t="array" ref="J722">IF(AND(I722&gt;=0,I722&lt;=20),0,IF(AND(I722&gt;20,I722&lt;=40),1, IF(AND(I722&gt;40,I722&lt;=60),2,IF(AND(I722&gt;60,I722&lt;=80),3, IF(AND(I722&gt;80,I722&lt;=100),4,”5”)))))</f>
        <v>1</v>
      </c>
    </row>
    <row r="723" spans="1:10" x14ac:dyDescent="0.3">
      <c r="A723" t="str">
        <f t="shared" si="15"/>
        <v>59038_110</v>
      </c>
      <c r="B723">
        <f>VLOOKUP(C723,[1]lookuptable!$A$1:$C$7,2,0)</f>
        <v>59038</v>
      </c>
      <c r="C723" t="s">
        <v>15</v>
      </c>
      <c r="D723" s="1">
        <v>110</v>
      </c>
      <c r="E723">
        <v>116</v>
      </c>
      <c r="F723">
        <v>0</v>
      </c>
      <c r="G723">
        <v>0</v>
      </c>
      <c r="H723">
        <v>185</v>
      </c>
      <c r="I723" s="2">
        <f>((E723+G723)/H723)*100</f>
        <v>62.702702702702709</v>
      </c>
      <c r="J723" cm="1">
        <f t="array" ref="J723">IF(AND(I723&gt;=0,I723&lt;=20),0,IF(AND(I723&gt;20,I723&lt;=40),1, IF(AND(I723&gt;40,I723&lt;=60),2,IF(AND(I723&gt;60,I723&lt;=80),3, IF(AND(I723&gt;80,I723&lt;=100),4,”5”)))))</f>
        <v>3</v>
      </c>
    </row>
    <row r="724" spans="1:10" x14ac:dyDescent="0.3">
      <c r="A724" t="str">
        <f t="shared" si="15"/>
        <v>59038_111</v>
      </c>
      <c r="B724">
        <f>VLOOKUP(C724,[1]lookuptable!$A$1:$C$7,2,0)</f>
        <v>59038</v>
      </c>
      <c r="C724" t="s">
        <v>15</v>
      </c>
      <c r="D724" s="1">
        <v>111</v>
      </c>
      <c r="E724">
        <v>1</v>
      </c>
      <c r="F724">
        <v>163</v>
      </c>
      <c r="G724">
        <v>164</v>
      </c>
      <c r="H724">
        <v>603</v>
      </c>
      <c r="I724" s="2">
        <v>27.197346599999999</v>
      </c>
      <c r="J724" cm="1">
        <f t="array" ref="J724">IF(AND(I724&gt;=0,I724&lt;=20),0,IF(AND(I724&gt;20,I724&lt;=40),1, IF(AND(I724&gt;40,I724&lt;=60),2,IF(AND(I724&gt;60,I724&lt;=80),3, IF(AND(I724&gt;80,I724&lt;=100),4,”5”)))))</f>
        <v>1</v>
      </c>
    </row>
    <row r="725" spans="1:10" x14ac:dyDescent="0.3">
      <c r="A725" t="str">
        <f t="shared" si="15"/>
        <v>59038_112</v>
      </c>
      <c r="B725">
        <f>VLOOKUP(C725,[1]lookuptable!$A$1:$C$7,2,0)</f>
        <v>59038</v>
      </c>
      <c r="C725" t="s">
        <v>15</v>
      </c>
      <c r="D725" s="1">
        <v>112</v>
      </c>
      <c r="E725">
        <v>0</v>
      </c>
      <c r="F725">
        <v>200</v>
      </c>
      <c r="G725">
        <v>200</v>
      </c>
      <c r="H725">
        <v>490</v>
      </c>
      <c r="I725" s="2">
        <v>40.816326529999998</v>
      </c>
      <c r="J725" cm="1">
        <f t="array" ref="J725">IF(AND(I725&gt;=0,I725&lt;=20),0,IF(AND(I725&gt;20,I725&lt;=40),1, IF(AND(I725&gt;40,I725&lt;=60),2,IF(AND(I725&gt;60,I725&lt;=80),3, IF(AND(I725&gt;80,I725&lt;=100),4,”5”)))))</f>
        <v>2</v>
      </c>
    </row>
    <row r="726" spans="1:10" x14ac:dyDescent="0.3">
      <c r="A726" t="str">
        <f t="shared" si="15"/>
        <v>59038_113</v>
      </c>
      <c r="B726">
        <f>VLOOKUP(C726,[1]lookuptable!$A$1:$C$7,2,0)</f>
        <v>59038</v>
      </c>
      <c r="C726" t="s">
        <v>15</v>
      </c>
      <c r="D726" s="1">
        <v>113</v>
      </c>
      <c r="E726">
        <v>0</v>
      </c>
      <c r="F726">
        <v>155</v>
      </c>
      <c r="G726">
        <v>155</v>
      </c>
      <c r="H726">
        <v>472</v>
      </c>
      <c r="I726" s="2">
        <v>32.838983050000003</v>
      </c>
      <c r="J726" cm="1">
        <f t="array" ref="J726">IF(AND(I726&gt;=0,I726&lt;=20),0,IF(AND(I726&gt;20,I726&lt;=40),1, IF(AND(I726&gt;40,I726&lt;=60),2,IF(AND(I726&gt;60,I726&lt;=80),3, IF(AND(I726&gt;80,I726&lt;=100),4,”5”)))))</f>
        <v>1</v>
      </c>
    </row>
    <row r="727" spans="1:10" x14ac:dyDescent="0.3">
      <c r="A727" t="str">
        <f t="shared" si="15"/>
        <v>59038_114</v>
      </c>
      <c r="B727">
        <f>VLOOKUP(C727,[1]lookuptable!$A$1:$C$7,2,0)</f>
        <v>59038</v>
      </c>
      <c r="C727" t="s">
        <v>15</v>
      </c>
      <c r="D727" s="1">
        <v>114</v>
      </c>
      <c r="E727">
        <v>4</v>
      </c>
      <c r="F727">
        <v>129</v>
      </c>
      <c r="G727">
        <v>133</v>
      </c>
      <c r="H727">
        <v>374</v>
      </c>
      <c r="I727" s="2">
        <v>35.561497330000002</v>
      </c>
      <c r="J727" cm="1">
        <f t="array" ref="J727">IF(AND(I727&gt;=0,I727&lt;=20),0,IF(AND(I727&gt;20,I727&lt;=40),1, IF(AND(I727&gt;40,I727&lt;=60),2,IF(AND(I727&gt;60,I727&lt;=80),3, IF(AND(I727&gt;80,I727&lt;=100),4,”5”)))))</f>
        <v>1</v>
      </c>
    </row>
    <row r="728" spans="1:10" x14ac:dyDescent="0.3">
      <c r="A728" t="str">
        <f t="shared" si="15"/>
        <v>59038_115</v>
      </c>
      <c r="B728">
        <f>VLOOKUP(C728,[1]lookuptable!$A$1:$C$7,2,0)</f>
        <v>59038</v>
      </c>
      <c r="C728" t="s">
        <v>15</v>
      </c>
      <c r="D728" s="1">
        <v>115</v>
      </c>
      <c r="E728">
        <v>1</v>
      </c>
      <c r="F728">
        <v>205</v>
      </c>
      <c r="G728">
        <v>206</v>
      </c>
      <c r="H728">
        <v>547</v>
      </c>
      <c r="I728" s="2">
        <v>37.659963439999999</v>
      </c>
      <c r="J728" cm="1">
        <f t="array" ref="J728">IF(AND(I728&gt;=0,I728&lt;=20),0,IF(AND(I728&gt;20,I728&lt;=40),1, IF(AND(I728&gt;40,I728&lt;=60),2,IF(AND(I728&gt;60,I728&lt;=80),3, IF(AND(I728&gt;80,I728&lt;=100),4,”5”)))))</f>
        <v>1</v>
      </c>
    </row>
    <row r="729" spans="1:10" x14ac:dyDescent="0.3">
      <c r="A729" t="str">
        <f t="shared" si="15"/>
        <v>59038_116</v>
      </c>
      <c r="B729">
        <f>VLOOKUP(C729,[1]lookuptable!$A$1:$C$7,2,0)</f>
        <v>59038</v>
      </c>
      <c r="C729" t="s">
        <v>15</v>
      </c>
      <c r="D729" s="1">
        <v>116</v>
      </c>
      <c r="E729">
        <v>1</v>
      </c>
      <c r="F729">
        <v>206</v>
      </c>
      <c r="G729">
        <v>207</v>
      </c>
      <c r="H729">
        <v>395</v>
      </c>
      <c r="I729" s="2">
        <v>52.405063290000001</v>
      </c>
      <c r="J729" cm="1">
        <f t="array" ref="J729">IF(AND(I729&gt;=0,I729&lt;=20),0,IF(AND(I729&gt;20,I729&lt;=40),1, IF(AND(I729&gt;40,I729&lt;=60),2,IF(AND(I729&gt;60,I729&lt;=80),3, IF(AND(I729&gt;80,I729&lt;=100),4,”5”)))))</f>
        <v>2</v>
      </c>
    </row>
    <row r="730" spans="1:10" x14ac:dyDescent="0.3">
      <c r="A730" t="str">
        <f t="shared" si="15"/>
        <v>59038_117</v>
      </c>
      <c r="B730">
        <f>VLOOKUP(C730,[1]lookuptable!$A$1:$C$7,2,0)</f>
        <v>59038</v>
      </c>
      <c r="C730" t="s">
        <v>15</v>
      </c>
      <c r="D730" s="1">
        <v>117</v>
      </c>
      <c r="E730">
        <v>3</v>
      </c>
      <c r="F730">
        <v>145</v>
      </c>
      <c r="G730">
        <v>148</v>
      </c>
      <c r="H730">
        <v>455</v>
      </c>
      <c r="I730" s="2">
        <v>32.527472529999997</v>
      </c>
      <c r="J730" cm="1">
        <f t="array" ref="J730">IF(AND(I730&gt;=0,I730&lt;=20),0,IF(AND(I730&gt;20,I730&lt;=40),1, IF(AND(I730&gt;40,I730&lt;=60),2,IF(AND(I730&gt;60,I730&lt;=80),3, IF(AND(I730&gt;80,I730&lt;=100),4,”5”)))))</f>
        <v>1</v>
      </c>
    </row>
    <row r="731" spans="1:10" x14ac:dyDescent="0.3">
      <c r="A731" t="str">
        <f t="shared" si="15"/>
        <v>59038_118</v>
      </c>
      <c r="B731">
        <f>VLOOKUP(C731,[1]lookuptable!$A$1:$C$7,2,0)</f>
        <v>59038</v>
      </c>
      <c r="C731" t="s">
        <v>15</v>
      </c>
      <c r="D731" s="1">
        <v>118</v>
      </c>
      <c r="E731">
        <v>2</v>
      </c>
      <c r="F731">
        <v>98</v>
      </c>
      <c r="G731">
        <v>100</v>
      </c>
      <c r="H731">
        <v>391</v>
      </c>
      <c r="I731" s="2">
        <v>25.575447570000001</v>
      </c>
      <c r="J731" cm="1">
        <f t="array" ref="J731">IF(AND(I731&gt;=0,I731&lt;=20),0,IF(AND(I731&gt;20,I731&lt;=40),1, IF(AND(I731&gt;40,I731&lt;=60),2,IF(AND(I731&gt;60,I731&lt;=80),3, IF(AND(I731&gt;80,I731&lt;=100),4,”5”)))))</f>
        <v>1</v>
      </c>
    </row>
    <row r="732" spans="1:10" x14ac:dyDescent="0.3">
      <c r="A732" t="str">
        <f t="shared" si="15"/>
        <v>59038_119</v>
      </c>
      <c r="B732">
        <f>VLOOKUP(C732,[1]lookuptable!$A$1:$C$7,2,0)</f>
        <v>59038</v>
      </c>
      <c r="C732" t="s">
        <v>15</v>
      </c>
      <c r="D732" s="1">
        <v>119</v>
      </c>
      <c r="E732">
        <v>85</v>
      </c>
      <c r="F732">
        <v>0</v>
      </c>
      <c r="G732">
        <v>0</v>
      </c>
      <c r="H732">
        <v>394</v>
      </c>
      <c r="I732" s="2">
        <f>((E732+G732)/H732)*100</f>
        <v>21.573604060913706</v>
      </c>
      <c r="J732" cm="1">
        <f t="array" ref="J732">IF(AND(I732&gt;=0,I732&lt;=20),0,IF(AND(I732&gt;20,I732&lt;=40),1, IF(AND(I732&gt;40,I732&lt;=60),2,IF(AND(I732&gt;60,I732&lt;=80),3, IF(AND(I732&gt;80,I732&lt;=100),4,”5”)))))</f>
        <v>1</v>
      </c>
    </row>
    <row r="733" spans="1:10" x14ac:dyDescent="0.3">
      <c r="A733" t="str">
        <f t="shared" si="15"/>
        <v>59038_120</v>
      </c>
      <c r="B733">
        <f>VLOOKUP(C733,[1]lookuptable!$A$1:$C$7,2,0)</f>
        <v>59038</v>
      </c>
      <c r="C733" t="s">
        <v>15</v>
      </c>
      <c r="D733" s="1">
        <v>120</v>
      </c>
      <c r="E733">
        <v>0</v>
      </c>
      <c r="F733">
        <v>113</v>
      </c>
      <c r="G733">
        <v>113</v>
      </c>
      <c r="H733">
        <v>482</v>
      </c>
      <c r="I733" s="2">
        <v>23.4439834</v>
      </c>
      <c r="J733" cm="1">
        <f t="array" ref="J733">IF(AND(I733&gt;=0,I733&lt;=20),0,IF(AND(I733&gt;20,I733&lt;=40),1, IF(AND(I733&gt;40,I733&lt;=60),2,IF(AND(I733&gt;60,I733&lt;=80),3, IF(AND(I733&gt;80,I733&lt;=100),4,”5”)))))</f>
        <v>1</v>
      </c>
    </row>
    <row r="734" spans="1:10" x14ac:dyDescent="0.3">
      <c r="A734" t="str">
        <f t="shared" si="15"/>
        <v>59038_121</v>
      </c>
      <c r="B734">
        <f>VLOOKUP(C734,[1]lookuptable!$A$1:$C$7,2,0)</f>
        <v>59038</v>
      </c>
      <c r="C734" t="s">
        <v>15</v>
      </c>
      <c r="D734" s="1">
        <v>121</v>
      </c>
      <c r="E734">
        <v>1</v>
      </c>
      <c r="F734">
        <v>129</v>
      </c>
      <c r="G734">
        <v>130</v>
      </c>
      <c r="H734">
        <v>461</v>
      </c>
      <c r="I734" s="2">
        <v>28.19956616</v>
      </c>
      <c r="J734" cm="1">
        <f t="array" ref="J734">IF(AND(I734&gt;=0,I734&lt;=20),0,IF(AND(I734&gt;20,I734&lt;=40),1, IF(AND(I734&gt;40,I734&lt;=60),2,IF(AND(I734&gt;60,I734&lt;=80),3, IF(AND(I734&gt;80,I734&lt;=100),4,”5”)))))</f>
        <v>1</v>
      </c>
    </row>
    <row r="735" spans="1:10" x14ac:dyDescent="0.3">
      <c r="A735" t="str">
        <f t="shared" si="15"/>
        <v>59038_122</v>
      </c>
      <c r="B735">
        <f>VLOOKUP(C735,[1]lookuptable!$A$1:$C$7,2,0)</f>
        <v>59038</v>
      </c>
      <c r="C735" t="s">
        <v>15</v>
      </c>
      <c r="D735" s="1">
        <v>122</v>
      </c>
      <c r="E735">
        <v>1</v>
      </c>
      <c r="F735">
        <v>107</v>
      </c>
      <c r="G735">
        <v>108</v>
      </c>
      <c r="H735">
        <v>427</v>
      </c>
      <c r="I735" s="2">
        <v>25.292740049999999</v>
      </c>
      <c r="J735" cm="1">
        <f t="array" ref="J735">IF(AND(I735&gt;=0,I735&lt;=20),0,IF(AND(I735&gt;20,I735&lt;=40),1, IF(AND(I735&gt;40,I735&lt;=60),2,IF(AND(I735&gt;60,I735&lt;=80),3, IF(AND(I735&gt;80,I735&lt;=100),4,”5”)))))</f>
        <v>1</v>
      </c>
    </row>
    <row r="736" spans="1:10" x14ac:dyDescent="0.3">
      <c r="A736" t="str">
        <f t="shared" si="15"/>
        <v>59038_123</v>
      </c>
      <c r="B736">
        <f>VLOOKUP(C736,[1]lookuptable!$A$1:$C$7,2,0)</f>
        <v>59038</v>
      </c>
      <c r="C736" t="s">
        <v>15</v>
      </c>
      <c r="D736" s="1">
        <v>123</v>
      </c>
      <c r="E736">
        <v>0</v>
      </c>
      <c r="F736">
        <v>92</v>
      </c>
      <c r="G736">
        <v>92</v>
      </c>
      <c r="H736">
        <v>468</v>
      </c>
      <c r="I736" s="2">
        <v>19.658119660000001</v>
      </c>
      <c r="J736" cm="1">
        <f t="array" ref="J736">IF(AND(I736&gt;=0,I736&lt;=20),0,IF(AND(I736&gt;20,I736&lt;=40),1, IF(AND(I736&gt;40,I736&lt;=60),2,IF(AND(I736&gt;60,I736&lt;=80),3, IF(AND(I736&gt;80,I736&lt;=100),4,”5”)))))</f>
        <v>0</v>
      </c>
    </row>
    <row r="737" spans="1:10" x14ac:dyDescent="0.3">
      <c r="A737" t="str">
        <f t="shared" si="15"/>
        <v>59038_124</v>
      </c>
      <c r="B737">
        <f>VLOOKUP(C737,[1]lookuptable!$A$1:$C$7,2,0)</f>
        <v>59038</v>
      </c>
      <c r="C737" t="s">
        <v>15</v>
      </c>
      <c r="D737" s="1">
        <v>124</v>
      </c>
      <c r="E737">
        <v>0</v>
      </c>
      <c r="F737">
        <v>148</v>
      </c>
      <c r="G737">
        <v>148</v>
      </c>
      <c r="H737">
        <v>453</v>
      </c>
      <c r="I737" s="2">
        <v>32.67108168</v>
      </c>
      <c r="J737" cm="1">
        <f t="array" ref="J737">IF(AND(I737&gt;=0,I737&lt;=20),0,IF(AND(I737&gt;20,I737&lt;=40),1, IF(AND(I737&gt;40,I737&lt;=60),2,IF(AND(I737&gt;60,I737&lt;=80),3, IF(AND(I737&gt;80,I737&lt;=100),4,”5”)))))</f>
        <v>1</v>
      </c>
    </row>
    <row r="738" spans="1:10" x14ac:dyDescent="0.3">
      <c r="A738" t="str">
        <f t="shared" si="15"/>
        <v>59038_125</v>
      </c>
      <c r="B738">
        <f>VLOOKUP(C738,[1]lookuptable!$A$1:$C$7,2,0)</f>
        <v>59038</v>
      </c>
      <c r="C738" t="s">
        <v>15</v>
      </c>
      <c r="D738" s="1">
        <v>125</v>
      </c>
      <c r="E738">
        <v>127</v>
      </c>
      <c r="F738">
        <v>0</v>
      </c>
      <c r="G738">
        <v>0</v>
      </c>
      <c r="H738">
        <v>371</v>
      </c>
      <c r="I738" s="2">
        <f>((E738+G738)/H738)*100</f>
        <v>34.23180592991914</v>
      </c>
      <c r="J738" cm="1">
        <f t="array" ref="J738">IF(AND(I738&gt;=0,I738&lt;=20),0,IF(AND(I738&gt;20,I738&lt;=40),1, IF(AND(I738&gt;40,I738&lt;=60),2,IF(AND(I738&gt;60,I738&lt;=80),3, IF(AND(I738&gt;80,I738&lt;=100),4,”5”)))))</f>
        <v>1</v>
      </c>
    </row>
    <row r="739" spans="1:10" x14ac:dyDescent="0.3">
      <c r="A739" t="str">
        <f t="shared" si="15"/>
        <v>59038_126</v>
      </c>
      <c r="B739">
        <f>VLOOKUP(C739,[1]lookuptable!$A$1:$C$7,2,0)</f>
        <v>59038</v>
      </c>
      <c r="C739" t="s">
        <v>15</v>
      </c>
      <c r="D739" s="1">
        <v>126</v>
      </c>
      <c r="E739">
        <v>0</v>
      </c>
      <c r="F739">
        <v>112</v>
      </c>
      <c r="G739">
        <v>112</v>
      </c>
      <c r="H739">
        <v>439</v>
      </c>
      <c r="I739" s="2">
        <v>25.512528469999999</v>
      </c>
      <c r="J739" cm="1">
        <f t="array" ref="J739">IF(AND(I739&gt;=0,I739&lt;=20),0,IF(AND(I739&gt;20,I739&lt;=40),1, IF(AND(I739&gt;40,I739&lt;=60),2,IF(AND(I739&gt;60,I739&lt;=80),3, IF(AND(I739&gt;80,I739&lt;=100),4,”5”)))))</f>
        <v>1</v>
      </c>
    </row>
    <row r="740" spans="1:10" x14ac:dyDescent="0.3">
      <c r="A740" t="str">
        <f t="shared" si="15"/>
        <v>59038_127</v>
      </c>
      <c r="B740">
        <f>VLOOKUP(C740,[1]lookuptable!$A$1:$C$7,2,0)</f>
        <v>59038</v>
      </c>
      <c r="C740" t="s">
        <v>15</v>
      </c>
      <c r="D740" s="1">
        <v>127</v>
      </c>
      <c r="E740">
        <v>2</v>
      </c>
      <c r="F740">
        <v>265</v>
      </c>
      <c r="G740">
        <v>267</v>
      </c>
      <c r="H740">
        <v>397</v>
      </c>
      <c r="I740" s="2">
        <v>67.254408060000003</v>
      </c>
      <c r="J740" cm="1">
        <f t="array" ref="J740">IF(AND(I740&gt;=0,I740&lt;=20),0,IF(AND(I740&gt;20,I740&lt;=40),1, IF(AND(I740&gt;40,I740&lt;=60),2,IF(AND(I740&gt;60,I740&lt;=80),3, IF(AND(I740&gt;80,I740&lt;=100),4,”5”)))))</f>
        <v>3</v>
      </c>
    </row>
    <row r="741" spans="1:10" x14ac:dyDescent="0.3">
      <c r="A741" t="str">
        <f t="shared" si="15"/>
        <v>59038_128</v>
      </c>
      <c r="B741">
        <f>VLOOKUP(C741,[1]lookuptable!$A$1:$C$7,2,0)</f>
        <v>59038</v>
      </c>
      <c r="C741" t="s">
        <v>15</v>
      </c>
      <c r="D741" s="1">
        <v>128</v>
      </c>
      <c r="E741">
        <v>141</v>
      </c>
      <c r="F741">
        <v>0</v>
      </c>
      <c r="G741">
        <v>0</v>
      </c>
      <c r="H741">
        <v>367</v>
      </c>
      <c r="I741" s="2">
        <f t="shared" ref="I741:I742" si="16">((E741+G741)/H741)*100</f>
        <v>38.419618528610357</v>
      </c>
      <c r="J741" cm="1">
        <f t="array" ref="J741">IF(AND(I741&gt;=0,I741&lt;=20),0,IF(AND(I741&gt;20,I741&lt;=40),1, IF(AND(I741&gt;40,I741&lt;=60),2,IF(AND(I741&gt;60,I741&lt;=80),3, IF(AND(I741&gt;80,I741&lt;=100),4,”5”)))))</f>
        <v>1</v>
      </c>
    </row>
    <row r="742" spans="1:10" x14ac:dyDescent="0.3">
      <c r="A742" t="str">
        <f t="shared" si="15"/>
        <v>59038_129</v>
      </c>
      <c r="B742">
        <f>VLOOKUP(C742,[1]lookuptable!$A$1:$C$7,2,0)</f>
        <v>59038</v>
      </c>
      <c r="C742" t="s">
        <v>15</v>
      </c>
      <c r="D742" s="1">
        <v>129</v>
      </c>
      <c r="E742">
        <v>148</v>
      </c>
      <c r="F742">
        <v>0</v>
      </c>
      <c r="G742">
        <v>0</v>
      </c>
      <c r="H742">
        <v>408</v>
      </c>
      <c r="I742" s="2">
        <f t="shared" si="16"/>
        <v>36.274509803921568</v>
      </c>
      <c r="J742" cm="1">
        <f t="array" ref="J742">IF(AND(I742&gt;=0,I742&lt;=20),0,IF(AND(I742&gt;20,I742&lt;=40),1, IF(AND(I742&gt;40,I742&lt;=60),2,IF(AND(I742&gt;60,I742&lt;=80),3, IF(AND(I742&gt;80,I742&lt;=100),4,”5”)))))</f>
        <v>1</v>
      </c>
    </row>
    <row r="743" spans="1:10" x14ac:dyDescent="0.3">
      <c r="A743" t="str">
        <f t="shared" si="15"/>
        <v>59038_130</v>
      </c>
      <c r="B743">
        <f>VLOOKUP(C743,[1]lookuptable!$A$1:$C$7,2,0)</f>
        <v>59038</v>
      </c>
      <c r="C743" t="s">
        <v>15</v>
      </c>
      <c r="D743" s="1">
        <v>130</v>
      </c>
      <c r="E743">
        <v>2</v>
      </c>
      <c r="F743">
        <v>319</v>
      </c>
      <c r="G743">
        <v>321</v>
      </c>
      <c r="H743">
        <v>480</v>
      </c>
      <c r="I743" s="2">
        <v>66.875</v>
      </c>
      <c r="J743" cm="1">
        <f t="array" ref="J743">IF(AND(I743&gt;=0,I743&lt;=20),0,IF(AND(I743&gt;20,I743&lt;=40),1, IF(AND(I743&gt;40,I743&lt;=60),2,IF(AND(I743&gt;60,I743&lt;=80),3, IF(AND(I743&gt;80,I743&lt;=100),4,”5”)))))</f>
        <v>3</v>
      </c>
    </row>
    <row r="744" spans="1:10" x14ac:dyDescent="0.3">
      <c r="A744" t="str">
        <f t="shared" si="15"/>
        <v>59038_131</v>
      </c>
      <c r="B744">
        <f>VLOOKUP(C744,[1]lookuptable!$A$1:$C$7,2,0)</f>
        <v>59038</v>
      </c>
      <c r="C744" t="s">
        <v>15</v>
      </c>
      <c r="D744" s="1">
        <v>131</v>
      </c>
      <c r="E744">
        <v>0</v>
      </c>
      <c r="F744">
        <v>210</v>
      </c>
      <c r="G744">
        <v>210</v>
      </c>
      <c r="H744">
        <v>377</v>
      </c>
      <c r="I744" s="2">
        <v>55.702917769999999</v>
      </c>
      <c r="J744" cm="1">
        <f t="array" ref="J744">IF(AND(I744&gt;=0,I744&lt;=20),0,IF(AND(I744&gt;20,I744&lt;=40),1, IF(AND(I744&gt;40,I744&lt;=60),2,IF(AND(I744&gt;60,I744&lt;=80),3, IF(AND(I744&gt;80,I744&lt;=100),4,”5”)))))</f>
        <v>2</v>
      </c>
    </row>
    <row r="745" spans="1:10" x14ac:dyDescent="0.3">
      <c r="A745" t="str">
        <f t="shared" si="15"/>
        <v>59038_132</v>
      </c>
      <c r="B745">
        <f>VLOOKUP(C745,[1]lookuptable!$A$1:$C$7,2,0)</f>
        <v>59038</v>
      </c>
      <c r="C745" t="s">
        <v>15</v>
      </c>
      <c r="D745" s="1">
        <v>132</v>
      </c>
      <c r="E745">
        <v>131</v>
      </c>
      <c r="F745">
        <v>0</v>
      </c>
      <c r="G745">
        <v>0</v>
      </c>
      <c r="H745">
        <v>344</v>
      </c>
      <c r="I745" s="2">
        <f>((E745+G745)/H745)*100</f>
        <v>38.081395348837212</v>
      </c>
      <c r="J745" cm="1">
        <f t="array" ref="J745">IF(AND(I745&gt;=0,I745&lt;=20),0,IF(AND(I745&gt;20,I745&lt;=40),1, IF(AND(I745&gt;40,I745&lt;=60),2,IF(AND(I745&gt;60,I745&lt;=80),3, IF(AND(I745&gt;80,I745&lt;=100),4,”5”)))))</f>
        <v>1</v>
      </c>
    </row>
    <row r="746" spans="1:10" x14ac:dyDescent="0.3">
      <c r="A746" t="str">
        <f t="shared" si="15"/>
        <v>59038_133</v>
      </c>
      <c r="B746">
        <f>VLOOKUP(C746,[1]lookuptable!$A$1:$C$7,2,0)</f>
        <v>59038</v>
      </c>
      <c r="C746" t="s">
        <v>15</v>
      </c>
      <c r="D746" s="1">
        <v>133</v>
      </c>
      <c r="E746">
        <v>0</v>
      </c>
      <c r="F746">
        <v>144</v>
      </c>
      <c r="G746">
        <v>144</v>
      </c>
      <c r="H746">
        <v>421</v>
      </c>
      <c r="I746" s="2">
        <v>34.204275529999997</v>
      </c>
      <c r="J746" cm="1">
        <f t="array" ref="J746">IF(AND(I746&gt;=0,I746&lt;=20),0,IF(AND(I746&gt;20,I746&lt;=40),1, IF(AND(I746&gt;40,I746&lt;=60),2,IF(AND(I746&gt;60,I746&lt;=80),3, IF(AND(I746&gt;80,I746&lt;=100),4,”5”)))))</f>
        <v>1</v>
      </c>
    </row>
    <row r="747" spans="1:10" x14ac:dyDescent="0.3">
      <c r="A747" t="str">
        <f t="shared" si="15"/>
        <v>59038_134</v>
      </c>
      <c r="B747">
        <f>VLOOKUP(C747,[1]lookuptable!$A$1:$C$7,2,0)</f>
        <v>59038</v>
      </c>
      <c r="C747" t="s">
        <v>15</v>
      </c>
      <c r="D747" s="1">
        <v>134</v>
      </c>
      <c r="E747">
        <v>5</v>
      </c>
      <c r="F747">
        <v>209</v>
      </c>
      <c r="G747">
        <v>214</v>
      </c>
      <c r="H747">
        <v>500</v>
      </c>
      <c r="I747" s="2">
        <v>42.8</v>
      </c>
      <c r="J747" cm="1">
        <f t="array" ref="J747">IF(AND(I747&gt;=0,I747&lt;=20),0,IF(AND(I747&gt;20,I747&lt;=40),1, IF(AND(I747&gt;40,I747&lt;=60),2,IF(AND(I747&gt;60,I747&lt;=80),3, IF(AND(I747&gt;80,I747&lt;=100),4,”5”)))))</f>
        <v>2</v>
      </c>
    </row>
    <row r="748" spans="1:10" x14ac:dyDescent="0.3">
      <c r="A748" t="str">
        <f t="shared" si="15"/>
        <v>59038_135</v>
      </c>
      <c r="B748">
        <f>VLOOKUP(C748,[1]lookuptable!$A$1:$C$7,2,0)</f>
        <v>59038</v>
      </c>
      <c r="C748" t="s">
        <v>15</v>
      </c>
      <c r="D748" s="1">
        <v>135</v>
      </c>
      <c r="E748">
        <v>1</v>
      </c>
      <c r="F748">
        <v>129</v>
      </c>
      <c r="G748">
        <v>130</v>
      </c>
      <c r="H748">
        <v>428</v>
      </c>
      <c r="I748" s="2">
        <v>30.37383178</v>
      </c>
      <c r="J748" cm="1">
        <f t="array" ref="J748">IF(AND(I748&gt;=0,I748&lt;=20),0,IF(AND(I748&gt;20,I748&lt;=40),1, IF(AND(I748&gt;40,I748&lt;=60),2,IF(AND(I748&gt;60,I748&lt;=80),3, IF(AND(I748&gt;80,I748&lt;=100),4,”5”)))))</f>
        <v>1</v>
      </c>
    </row>
    <row r="749" spans="1:10" x14ac:dyDescent="0.3">
      <c r="A749" t="str">
        <f t="shared" si="15"/>
        <v>59038_136</v>
      </c>
      <c r="B749">
        <f>VLOOKUP(C749,[1]lookuptable!$A$1:$C$7,2,0)</f>
        <v>59038</v>
      </c>
      <c r="C749" t="s">
        <v>15</v>
      </c>
      <c r="D749" s="1">
        <v>136</v>
      </c>
      <c r="E749">
        <v>108</v>
      </c>
      <c r="F749">
        <v>0</v>
      </c>
      <c r="G749">
        <v>0</v>
      </c>
      <c r="H749">
        <v>388</v>
      </c>
      <c r="I749" s="2">
        <f>((E749+G749)/H749)*100</f>
        <v>27.835051546391753</v>
      </c>
      <c r="J749" cm="1">
        <f t="array" ref="J749">IF(AND(I749&gt;=0,I749&lt;=20),0,IF(AND(I749&gt;20,I749&lt;=40),1, IF(AND(I749&gt;40,I749&lt;=60),2,IF(AND(I749&gt;60,I749&lt;=80),3, IF(AND(I749&gt;80,I749&lt;=100),4,”5”)))))</f>
        <v>1</v>
      </c>
    </row>
    <row r="750" spans="1:10" x14ac:dyDescent="0.3">
      <c r="A750" t="str">
        <f t="shared" si="15"/>
        <v>59038_137</v>
      </c>
      <c r="B750">
        <f>VLOOKUP(C750,[1]lookuptable!$A$1:$C$7,2,0)</f>
        <v>59038</v>
      </c>
      <c r="C750" t="s">
        <v>15</v>
      </c>
      <c r="D750" s="1">
        <v>137</v>
      </c>
      <c r="E750">
        <v>0</v>
      </c>
      <c r="F750">
        <v>125</v>
      </c>
      <c r="G750">
        <v>125</v>
      </c>
      <c r="H750">
        <v>407</v>
      </c>
      <c r="I750" s="2">
        <v>30.712530709999999</v>
      </c>
      <c r="J750" cm="1">
        <f t="array" ref="J750">IF(AND(I750&gt;=0,I750&lt;=20),0,IF(AND(I750&gt;20,I750&lt;=40),1, IF(AND(I750&gt;40,I750&lt;=60),2,IF(AND(I750&gt;60,I750&lt;=80),3, IF(AND(I750&gt;80,I750&lt;=100),4,”5”)))))</f>
        <v>1</v>
      </c>
    </row>
    <row r="751" spans="1:10" x14ac:dyDescent="0.3">
      <c r="A751" t="str">
        <f t="shared" si="15"/>
        <v>59038_138</v>
      </c>
      <c r="B751">
        <f>VLOOKUP(C751,[1]lookuptable!$A$1:$C$7,2,0)</f>
        <v>59038</v>
      </c>
      <c r="C751" t="s">
        <v>15</v>
      </c>
      <c r="D751" s="1">
        <v>138</v>
      </c>
      <c r="E751">
        <v>1</v>
      </c>
      <c r="F751">
        <v>168</v>
      </c>
      <c r="G751">
        <v>169</v>
      </c>
      <c r="H751">
        <v>463</v>
      </c>
      <c r="I751" s="2">
        <v>36.501079910000001</v>
      </c>
      <c r="J751" cm="1">
        <f t="array" ref="J751">IF(AND(I751&gt;=0,I751&lt;=20),0,IF(AND(I751&gt;20,I751&lt;=40),1, IF(AND(I751&gt;40,I751&lt;=60),2,IF(AND(I751&gt;60,I751&lt;=80),3, IF(AND(I751&gt;80,I751&lt;=100),4,”5”)))))</f>
        <v>1</v>
      </c>
    </row>
    <row r="752" spans="1:10" x14ac:dyDescent="0.3">
      <c r="A752" t="str">
        <f t="shared" si="15"/>
        <v>59038_139</v>
      </c>
      <c r="B752">
        <f>VLOOKUP(C752,[1]lookuptable!$A$1:$C$7,2,0)</f>
        <v>59038</v>
      </c>
      <c r="C752" t="s">
        <v>15</v>
      </c>
      <c r="D752" s="1">
        <v>139</v>
      </c>
      <c r="E752">
        <v>130</v>
      </c>
      <c r="F752">
        <v>0</v>
      </c>
      <c r="G752">
        <v>0</v>
      </c>
      <c r="H752">
        <v>480</v>
      </c>
      <c r="I752" s="2">
        <f>((E752+G752)/H752)*100</f>
        <v>27.083333333333332</v>
      </c>
      <c r="J752" cm="1">
        <f t="array" ref="J752">IF(AND(I752&gt;=0,I752&lt;=20),0,IF(AND(I752&gt;20,I752&lt;=40),1, IF(AND(I752&gt;40,I752&lt;=60),2,IF(AND(I752&gt;60,I752&lt;=80),3, IF(AND(I752&gt;80,I752&lt;=100),4,”5”)))))</f>
        <v>1</v>
      </c>
    </row>
    <row r="753" spans="1:10" x14ac:dyDescent="0.3">
      <c r="A753" t="str">
        <f t="shared" si="15"/>
        <v>59038_140</v>
      </c>
      <c r="B753">
        <f>VLOOKUP(C753,[1]lookuptable!$A$1:$C$7,2,0)</f>
        <v>59038</v>
      </c>
      <c r="C753" t="s">
        <v>15</v>
      </c>
      <c r="D753" s="1">
        <v>140</v>
      </c>
      <c r="E753">
        <v>0</v>
      </c>
      <c r="F753">
        <v>152</v>
      </c>
      <c r="G753">
        <v>152</v>
      </c>
      <c r="H753">
        <v>467</v>
      </c>
      <c r="I753" s="2">
        <v>32.548179869999998</v>
      </c>
      <c r="J753" cm="1">
        <f t="array" ref="J753">IF(AND(I753&gt;=0,I753&lt;=20),0,IF(AND(I753&gt;20,I753&lt;=40),1, IF(AND(I753&gt;40,I753&lt;=60),2,IF(AND(I753&gt;60,I753&lt;=80),3, IF(AND(I753&gt;80,I753&lt;=100),4,”5”)))))</f>
        <v>1</v>
      </c>
    </row>
    <row r="754" spans="1:10" x14ac:dyDescent="0.3">
      <c r="A754" t="str">
        <f t="shared" si="15"/>
        <v>59038_141</v>
      </c>
      <c r="B754">
        <f>VLOOKUP(C754,[1]lookuptable!$A$1:$C$7,2,0)</f>
        <v>59038</v>
      </c>
      <c r="C754" t="s">
        <v>15</v>
      </c>
      <c r="D754" s="1">
        <v>141</v>
      </c>
      <c r="E754">
        <v>1</v>
      </c>
      <c r="F754">
        <v>196</v>
      </c>
      <c r="G754">
        <v>197</v>
      </c>
      <c r="H754">
        <v>405</v>
      </c>
      <c r="I754" s="2">
        <v>48.641975309999999</v>
      </c>
      <c r="J754" cm="1">
        <f t="array" ref="J754">IF(AND(I754&gt;=0,I754&lt;=20),0,IF(AND(I754&gt;20,I754&lt;=40),1, IF(AND(I754&gt;40,I754&lt;=60),2,IF(AND(I754&gt;60,I754&lt;=80),3, IF(AND(I754&gt;80,I754&lt;=100),4,”5”)))))</f>
        <v>2</v>
      </c>
    </row>
    <row r="755" spans="1:10" x14ac:dyDescent="0.3">
      <c r="A755" t="str">
        <f t="shared" si="15"/>
        <v>59038_142</v>
      </c>
      <c r="B755">
        <f>VLOOKUP(C755,[1]lookuptable!$A$1:$C$7,2,0)</f>
        <v>59038</v>
      </c>
      <c r="C755" t="s">
        <v>15</v>
      </c>
      <c r="D755" s="1">
        <v>142</v>
      </c>
      <c r="E755">
        <v>0</v>
      </c>
      <c r="F755">
        <v>134</v>
      </c>
      <c r="G755">
        <v>134</v>
      </c>
      <c r="H755">
        <v>442</v>
      </c>
      <c r="I755" s="2">
        <v>30.316742080000001</v>
      </c>
      <c r="J755" cm="1">
        <f t="array" ref="J755">IF(AND(I755&gt;=0,I755&lt;=20),0,IF(AND(I755&gt;20,I755&lt;=40),1, IF(AND(I755&gt;40,I755&lt;=60),2,IF(AND(I755&gt;60,I755&lt;=80),3, IF(AND(I755&gt;80,I755&lt;=100),4,”5”)))))</f>
        <v>1</v>
      </c>
    </row>
    <row r="756" spans="1:10" x14ac:dyDescent="0.3">
      <c r="A756" t="str">
        <f t="shared" si="15"/>
        <v>59038_143</v>
      </c>
      <c r="B756">
        <f>VLOOKUP(C756,[1]lookuptable!$A$1:$C$7,2,0)</f>
        <v>59038</v>
      </c>
      <c r="C756" t="s">
        <v>15</v>
      </c>
      <c r="D756" s="1">
        <v>143</v>
      </c>
      <c r="E756">
        <v>1</v>
      </c>
      <c r="F756">
        <v>122</v>
      </c>
      <c r="G756">
        <v>123</v>
      </c>
      <c r="H756">
        <v>450</v>
      </c>
      <c r="I756" s="2">
        <v>27.333333329999999</v>
      </c>
      <c r="J756" cm="1">
        <f t="array" ref="J756">IF(AND(I756&gt;=0,I756&lt;=20),0,IF(AND(I756&gt;20,I756&lt;=40),1, IF(AND(I756&gt;40,I756&lt;=60),2,IF(AND(I756&gt;60,I756&lt;=80),3, IF(AND(I756&gt;80,I756&lt;=100),4,”5”)))))</f>
        <v>1</v>
      </c>
    </row>
    <row r="757" spans="1:10" x14ac:dyDescent="0.3">
      <c r="A757" t="str">
        <f t="shared" si="15"/>
        <v>59038_144</v>
      </c>
      <c r="B757">
        <f>VLOOKUP(C757,[1]lookuptable!$A$1:$C$7,2,0)</f>
        <v>59038</v>
      </c>
      <c r="C757" t="s">
        <v>15</v>
      </c>
      <c r="D757" s="1">
        <v>144</v>
      </c>
      <c r="E757">
        <v>1</v>
      </c>
      <c r="F757">
        <v>105</v>
      </c>
      <c r="G757">
        <v>106</v>
      </c>
      <c r="H757">
        <v>458</v>
      </c>
      <c r="I757" s="2">
        <v>23.144104800000001</v>
      </c>
      <c r="J757" cm="1">
        <f t="array" ref="J757">IF(AND(I757&gt;=0,I757&lt;=20),0,IF(AND(I757&gt;20,I757&lt;=40),1, IF(AND(I757&gt;40,I757&lt;=60),2,IF(AND(I757&gt;60,I757&lt;=80),3, IF(AND(I757&gt;80,I757&lt;=100),4,”5”)))))</f>
        <v>1</v>
      </c>
    </row>
    <row r="758" spans="1:10" x14ac:dyDescent="0.3">
      <c r="A758" t="str">
        <f t="shared" si="15"/>
        <v>59038_145</v>
      </c>
      <c r="B758">
        <f>VLOOKUP(C758,[1]lookuptable!$A$1:$C$7,2,0)</f>
        <v>59038</v>
      </c>
      <c r="C758" t="s">
        <v>15</v>
      </c>
      <c r="D758" s="1">
        <v>145</v>
      </c>
      <c r="E758">
        <v>2</v>
      </c>
      <c r="F758">
        <v>129</v>
      </c>
      <c r="G758">
        <v>131</v>
      </c>
      <c r="H758">
        <v>393</v>
      </c>
      <c r="I758" s="2">
        <v>33.333333330000002</v>
      </c>
      <c r="J758" cm="1">
        <f t="array" ref="J758">IF(AND(I758&gt;=0,I758&lt;=20),0,IF(AND(I758&gt;20,I758&lt;=40),1, IF(AND(I758&gt;40,I758&lt;=60),2,IF(AND(I758&gt;60,I758&lt;=80),3, IF(AND(I758&gt;80,I758&lt;=100),4,”5”)))))</f>
        <v>1</v>
      </c>
    </row>
    <row r="759" spans="1:10" x14ac:dyDescent="0.3">
      <c r="A759" t="str">
        <f t="shared" si="15"/>
        <v>59038_146</v>
      </c>
      <c r="B759">
        <f>VLOOKUP(C759,[1]lookuptable!$A$1:$C$7,2,0)</f>
        <v>59038</v>
      </c>
      <c r="C759" t="s">
        <v>15</v>
      </c>
      <c r="D759" s="1">
        <v>146</v>
      </c>
      <c r="E759">
        <v>4</v>
      </c>
      <c r="F759">
        <v>124</v>
      </c>
      <c r="G759">
        <v>128</v>
      </c>
      <c r="H759">
        <v>392</v>
      </c>
      <c r="I759" s="2">
        <v>32.653061219999998</v>
      </c>
      <c r="J759" cm="1">
        <f t="array" ref="J759">IF(AND(I759&gt;=0,I759&lt;=20),0,IF(AND(I759&gt;20,I759&lt;=40),1, IF(AND(I759&gt;40,I759&lt;=60),2,IF(AND(I759&gt;60,I759&lt;=80),3, IF(AND(I759&gt;80,I759&lt;=100),4,”5”)))))</f>
        <v>1</v>
      </c>
    </row>
    <row r="760" spans="1:10" x14ac:dyDescent="0.3">
      <c r="A760" t="str">
        <f t="shared" si="15"/>
        <v>59038_147</v>
      </c>
      <c r="B760">
        <f>VLOOKUP(C760,[1]lookuptable!$A$1:$C$7,2,0)</f>
        <v>59038</v>
      </c>
      <c r="C760" t="s">
        <v>15</v>
      </c>
      <c r="D760" s="1">
        <v>147</v>
      </c>
      <c r="E760">
        <v>1</v>
      </c>
      <c r="F760">
        <v>156</v>
      </c>
      <c r="G760">
        <v>157</v>
      </c>
      <c r="H760">
        <v>439</v>
      </c>
      <c r="I760" s="2">
        <v>35.763097950000002</v>
      </c>
      <c r="J760" cm="1">
        <f t="array" ref="J760">IF(AND(I760&gt;=0,I760&lt;=20),0,IF(AND(I760&gt;20,I760&lt;=40),1, IF(AND(I760&gt;40,I760&lt;=60),2,IF(AND(I760&gt;60,I760&lt;=80),3, IF(AND(I760&gt;80,I760&lt;=100),4,”5”)))))</f>
        <v>1</v>
      </c>
    </row>
    <row r="761" spans="1:10" x14ac:dyDescent="0.3">
      <c r="A761" t="str">
        <f t="shared" si="15"/>
        <v>59038_148</v>
      </c>
      <c r="B761">
        <f>VLOOKUP(C761,[1]lookuptable!$A$1:$C$7,2,0)</f>
        <v>59038</v>
      </c>
      <c r="C761" t="s">
        <v>15</v>
      </c>
      <c r="D761" s="1">
        <v>148</v>
      </c>
      <c r="E761">
        <v>0</v>
      </c>
      <c r="F761">
        <v>250</v>
      </c>
      <c r="G761">
        <v>250</v>
      </c>
      <c r="H761">
        <v>407</v>
      </c>
      <c r="I761" s="2">
        <v>61.42506143</v>
      </c>
      <c r="J761" cm="1">
        <f t="array" ref="J761">IF(AND(I761&gt;=0,I761&lt;=20),0,IF(AND(I761&gt;20,I761&lt;=40),1, IF(AND(I761&gt;40,I761&lt;=60),2,IF(AND(I761&gt;60,I761&lt;=80),3, IF(AND(I761&gt;80,I761&lt;=100),4,”5”)))))</f>
        <v>3</v>
      </c>
    </row>
    <row r="762" spans="1:10" x14ac:dyDescent="0.3">
      <c r="A762" t="str">
        <f t="shared" si="15"/>
        <v>59038_149</v>
      </c>
      <c r="B762">
        <f>VLOOKUP(C762,[1]lookuptable!$A$1:$C$7,2,0)</f>
        <v>59038</v>
      </c>
      <c r="C762" t="s">
        <v>15</v>
      </c>
      <c r="D762" s="1">
        <v>149</v>
      </c>
      <c r="E762">
        <v>150</v>
      </c>
      <c r="F762">
        <v>0</v>
      </c>
      <c r="G762">
        <v>0</v>
      </c>
      <c r="H762">
        <v>420</v>
      </c>
      <c r="I762" s="2">
        <f>((E762+G762)/H762)*100</f>
        <v>35.714285714285715</v>
      </c>
      <c r="J762" cm="1">
        <f t="array" ref="J762">IF(AND(I762&gt;=0,I762&lt;=20),0,IF(AND(I762&gt;20,I762&lt;=40),1, IF(AND(I762&gt;40,I762&lt;=60),2,IF(AND(I762&gt;60,I762&lt;=80),3, IF(AND(I762&gt;80,I762&lt;=100),4,”5”)))))</f>
        <v>1</v>
      </c>
    </row>
    <row r="763" spans="1:10" x14ac:dyDescent="0.3">
      <c r="A763" t="str">
        <f t="shared" si="15"/>
        <v>59038_150</v>
      </c>
      <c r="B763">
        <f>VLOOKUP(C763,[1]lookuptable!$A$1:$C$7,2,0)</f>
        <v>59038</v>
      </c>
      <c r="C763" t="s">
        <v>15</v>
      </c>
      <c r="D763" s="1">
        <v>150</v>
      </c>
      <c r="E763">
        <v>1</v>
      </c>
      <c r="F763">
        <v>258</v>
      </c>
      <c r="G763">
        <v>259</v>
      </c>
      <c r="H763">
        <v>422</v>
      </c>
      <c r="I763" s="2">
        <v>61.374407580000003</v>
      </c>
      <c r="J763" cm="1">
        <f t="array" ref="J763">IF(AND(I763&gt;=0,I763&lt;=20),0,IF(AND(I763&gt;20,I763&lt;=40),1, IF(AND(I763&gt;40,I763&lt;=60),2,IF(AND(I763&gt;60,I763&lt;=80),3, IF(AND(I763&gt;80,I763&lt;=100),4,”5”)))))</f>
        <v>3</v>
      </c>
    </row>
    <row r="764" spans="1:10" x14ac:dyDescent="0.3">
      <c r="A764" t="str">
        <f t="shared" si="15"/>
        <v>59038_151</v>
      </c>
      <c r="B764">
        <f>VLOOKUP(C764,[1]lookuptable!$A$1:$C$7,2,0)</f>
        <v>59038</v>
      </c>
      <c r="C764" t="s">
        <v>15</v>
      </c>
      <c r="D764" s="1">
        <v>151</v>
      </c>
      <c r="E764">
        <v>0</v>
      </c>
      <c r="F764">
        <v>204</v>
      </c>
      <c r="G764">
        <v>204</v>
      </c>
      <c r="H764">
        <v>475</v>
      </c>
      <c r="I764" s="2">
        <v>42.947368419999997</v>
      </c>
      <c r="J764" cm="1">
        <f t="array" ref="J764">IF(AND(I764&gt;=0,I764&lt;=20),0,IF(AND(I764&gt;20,I764&lt;=40),1, IF(AND(I764&gt;40,I764&lt;=60),2,IF(AND(I764&gt;60,I764&lt;=80),3, IF(AND(I764&gt;80,I764&lt;=100),4,”5”)))))</f>
        <v>2</v>
      </c>
    </row>
    <row r="765" spans="1:10" x14ac:dyDescent="0.3">
      <c r="A765" t="str">
        <f t="shared" si="15"/>
        <v>59038_152</v>
      </c>
      <c r="B765">
        <f>VLOOKUP(C765,[1]lookuptable!$A$1:$C$7,2,0)</f>
        <v>59038</v>
      </c>
      <c r="C765" t="s">
        <v>15</v>
      </c>
      <c r="D765" s="1">
        <v>152</v>
      </c>
      <c r="E765">
        <v>151</v>
      </c>
      <c r="F765">
        <v>0</v>
      </c>
      <c r="G765">
        <v>0</v>
      </c>
      <c r="H765">
        <v>434</v>
      </c>
      <c r="I765" s="2">
        <f t="shared" ref="I765:I766" si="17">((E765+G765)/H765)*100</f>
        <v>34.792626728110598</v>
      </c>
      <c r="J765" cm="1">
        <f t="array" ref="J765">IF(AND(I765&gt;=0,I765&lt;=20),0,IF(AND(I765&gt;20,I765&lt;=40),1, IF(AND(I765&gt;40,I765&lt;=60),2,IF(AND(I765&gt;60,I765&lt;=80),3, IF(AND(I765&gt;80,I765&lt;=100),4,”5”)))))</f>
        <v>1</v>
      </c>
    </row>
    <row r="766" spans="1:10" x14ac:dyDescent="0.3">
      <c r="A766" t="str">
        <f t="shared" si="15"/>
        <v>59038_153</v>
      </c>
      <c r="B766">
        <f>VLOOKUP(C766,[1]lookuptable!$A$1:$C$7,2,0)</f>
        <v>59038</v>
      </c>
      <c r="C766" t="s">
        <v>15</v>
      </c>
      <c r="D766" s="1">
        <v>153</v>
      </c>
      <c r="E766">
        <v>154</v>
      </c>
      <c r="F766">
        <v>0</v>
      </c>
      <c r="G766">
        <v>0</v>
      </c>
      <c r="H766">
        <v>378</v>
      </c>
      <c r="I766" s="2">
        <f t="shared" si="17"/>
        <v>40.74074074074074</v>
      </c>
      <c r="J766" cm="1">
        <f t="array" ref="J766">IF(AND(I766&gt;=0,I766&lt;=20),0,IF(AND(I766&gt;20,I766&lt;=40),1, IF(AND(I766&gt;40,I766&lt;=60),2,IF(AND(I766&gt;60,I766&lt;=80),3, IF(AND(I766&gt;80,I766&lt;=100),4,”5”)))))</f>
        <v>2</v>
      </c>
    </row>
    <row r="767" spans="1:10" x14ac:dyDescent="0.3">
      <c r="A767" t="str">
        <f t="shared" si="15"/>
        <v>59038_154</v>
      </c>
      <c r="B767">
        <f>VLOOKUP(C767,[1]lookuptable!$A$1:$C$7,2,0)</f>
        <v>59038</v>
      </c>
      <c r="C767" t="s">
        <v>15</v>
      </c>
      <c r="D767" s="1">
        <v>154</v>
      </c>
      <c r="E767">
        <v>2</v>
      </c>
      <c r="F767">
        <v>224</v>
      </c>
      <c r="G767">
        <v>226</v>
      </c>
      <c r="H767">
        <v>405</v>
      </c>
      <c r="I767" s="2">
        <v>55.802469139999999</v>
      </c>
      <c r="J767" cm="1">
        <f t="array" ref="J767">IF(AND(I767&gt;=0,I767&lt;=20),0,IF(AND(I767&gt;20,I767&lt;=40),1, IF(AND(I767&gt;40,I767&lt;=60),2,IF(AND(I767&gt;60,I767&lt;=80),3, IF(AND(I767&gt;80,I767&lt;=100),4,”5”)))))</f>
        <v>2</v>
      </c>
    </row>
    <row r="768" spans="1:10" x14ac:dyDescent="0.3">
      <c r="A768" t="str">
        <f t="shared" si="15"/>
        <v>59038_155</v>
      </c>
      <c r="B768">
        <f>VLOOKUP(C768,[1]lookuptable!$A$1:$C$7,2,0)</f>
        <v>59038</v>
      </c>
      <c r="C768" t="s">
        <v>15</v>
      </c>
      <c r="D768" s="1">
        <v>155</v>
      </c>
      <c r="E768">
        <v>0</v>
      </c>
      <c r="F768">
        <v>160</v>
      </c>
      <c r="G768">
        <v>160</v>
      </c>
      <c r="H768">
        <v>526</v>
      </c>
      <c r="I768" s="2">
        <v>30.418250950000001</v>
      </c>
      <c r="J768" cm="1">
        <f t="array" ref="J768">IF(AND(I768&gt;=0,I768&lt;=20),0,IF(AND(I768&gt;20,I768&lt;=40),1, IF(AND(I768&gt;40,I768&lt;=60),2,IF(AND(I768&gt;60,I768&lt;=80),3, IF(AND(I768&gt;80,I768&lt;=100),4,”5”)))))</f>
        <v>1</v>
      </c>
    </row>
    <row r="769" spans="1:10" x14ac:dyDescent="0.3">
      <c r="A769" t="str">
        <f t="shared" si="15"/>
        <v>59038_156</v>
      </c>
      <c r="B769">
        <f>VLOOKUP(C769,[1]lookuptable!$A$1:$C$7,2,0)</f>
        <v>59038</v>
      </c>
      <c r="C769" t="s">
        <v>15</v>
      </c>
      <c r="D769" s="1">
        <v>156</v>
      </c>
      <c r="E769">
        <v>3</v>
      </c>
      <c r="F769">
        <v>141</v>
      </c>
      <c r="G769">
        <v>144</v>
      </c>
      <c r="H769">
        <v>486</v>
      </c>
      <c r="I769" s="2">
        <v>29.62962963</v>
      </c>
      <c r="J769" cm="1">
        <f t="array" ref="J769">IF(AND(I769&gt;=0,I769&lt;=20),0,IF(AND(I769&gt;20,I769&lt;=40),1, IF(AND(I769&gt;40,I769&lt;=60),2,IF(AND(I769&gt;60,I769&lt;=80),3, IF(AND(I769&gt;80,I769&lt;=100),4,”5”)))))</f>
        <v>1</v>
      </c>
    </row>
    <row r="770" spans="1:10" x14ac:dyDescent="0.3">
      <c r="A770" t="str">
        <f t="shared" ref="A770:A833" si="18">CONCATENATE(B770,"_",D770)</f>
        <v>59038_157</v>
      </c>
      <c r="B770">
        <f>VLOOKUP(C770,[1]lookuptable!$A$1:$C$7,2,0)</f>
        <v>59038</v>
      </c>
      <c r="C770" t="s">
        <v>15</v>
      </c>
      <c r="D770" s="1">
        <v>157</v>
      </c>
      <c r="E770">
        <v>2</v>
      </c>
      <c r="F770">
        <v>130</v>
      </c>
      <c r="G770">
        <v>132</v>
      </c>
      <c r="H770">
        <v>437</v>
      </c>
      <c r="I770" s="2">
        <v>30.205949660000002</v>
      </c>
      <c r="J770" cm="1">
        <f t="array" ref="J770">IF(AND(I770&gt;=0,I770&lt;=20),0,IF(AND(I770&gt;20,I770&lt;=40),1, IF(AND(I770&gt;40,I770&lt;=60),2,IF(AND(I770&gt;60,I770&lt;=80),3, IF(AND(I770&gt;80,I770&lt;=100),4,”5”)))))</f>
        <v>1</v>
      </c>
    </row>
    <row r="771" spans="1:10" x14ac:dyDescent="0.3">
      <c r="A771" t="str">
        <f t="shared" si="18"/>
        <v>59038_158</v>
      </c>
      <c r="B771">
        <f>VLOOKUP(C771,[1]lookuptable!$A$1:$C$7,2,0)</f>
        <v>59038</v>
      </c>
      <c r="C771" t="s">
        <v>15</v>
      </c>
      <c r="D771" s="1">
        <v>158</v>
      </c>
      <c r="E771">
        <v>3</v>
      </c>
      <c r="F771">
        <v>133</v>
      </c>
      <c r="G771">
        <v>136</v>
      </c>
      <c r="H771">
        <v>514</v>
      </c>
      <c r="I771" s="2">
        <v>26.45914397</v>
      </c>
      <c r="J771" cm="1">
        <f t="array" ref="J771">IF(AND(I771&gt;=0,I771&lt;=20),0,IF(AND(I771&gt;20,I771&lt;=40),1, IF(AND(I771&gt;40,I771&lt;=60),2,IF(AND(I771&gt;60,I771&lt;=80),3, IF(AND(I771&gt;80,I771&lt;=100),4,”5”)))))</f>
        <v>1</v>
      </c>
    </row>
    <row r="772" spans="1:10" x14ac:dyDescent="0.3">
      <c r="A772" t="str">
        <f t="shared" si="18"/>
        <v>59038_159</v>
      </c>
      <c r="B772">
        <f>VLOOKUP(C772,[1]lookuptable!$A$1:$C$7,2,0)</f>
        <v>59038</v>
      </c>
      <c r="C772" t="s">
        <v>15</v>
      </c>
      <c r="D772" s="1">
        <v>159</v>
      </c>
      <c r="E772">
        <v>162</v>
      </c>
      <c r="F772">
        <v>0</v>
      </c>
      <c r="G772">
        <v>0</v>
      </c>
      <c r="H772">
        <v>277</v>
      </c>
      <c r="I772" s="2">
        <f>((E772+G772)/H772)*100</f>
        <v>58.483754512635379</v>
      </c>
      <c r="J772" cm="1">
        <f t="array" ref="J772">IF(AND(I772&gt;=0,I772&lt;=20),0,IF(AND(I772&gt;20,I772&lt;=40),1, IF(AND(I772&gt;40,I772&lt;=60),2,IF(AND(I772&gt;60,I772&lt;=80),3, IF(AND(I772&gt;80,I772&lt;=100),4,”5”)))))</f>
        <v>2</v>
      </c>
    </row>
    <row r="773" spans="1:10" x14ac:dyDescent="0.3">
      <c r="A773" t="str">
        <f t="shared" si="18"/>
        <v>59038_160</v>
      </c>
      <c r="B773">
        <f>VLOOKUP(C773,[1]lookuptable!$A$1:$C$7,2,0)</f>
        <v>59038</v>
      </c>
      <c r="C773" t="s">
        <v>15</v>
      </c>
      <c r="D773" s="1">
        <v>160</v>
      </c>
      <c r="E773">
        <v>1</v>
      </c>
      <c r="F773">
        <v>166</v>
      </c>
      <c r="G773">
        <v>167</v>
      </c>
      <c r="H773">
        <v>452</v>
      </c>
      <c r="I773" s="2">
        <v>36.946902649999998</v>
      </c>
      <c r="J773" cm="1">
        <f t="array" ref="J773">IF(AND(I773&gt;=0,I773&lt;=20),0,IF(AND(I773&gt;20,I773&lt;=40),1, IF(AND(I773&gt;40,I773&lt;=60),2,IF(AND(I773&gt;60,I773&lt;=80),3, IF(AND(I773&gt;80,I773&lt;=100),4,”5”)))))</f>
        <v>1</v>
      </c>
    </row>
    <row r="774" spans="1:10" x14ac:dyDescent="0.3">
      <c r="A774" t="str">
        <f t="shared" si="18"/>
        <v>59038_161</v>
      </c>
      <c r="B774">
        <f>VLOOKUP(C774,[1]lookuptable!$A$1:$C$7,2,0)</f>
        <v>59038</v>
      </c>
      <c r="C774" t="s">
        <v>15</v>
      </c>
      <c r="D774" s="1">
        <v>161</v>
      </c>
      <c r="E774">
        <v>0</v>
      </c>
      <c r="F774">
        <v>89</v>
      </c>
      <c r="G774">
        <v>89</v>
      </c>
      <c r="H774">
        <v>453</v>
      </c>
      <c r="I774" s="2">
        <v>19.646799120000001</v>
      </c>
      <c r="J774" cm="1">
        <f t="array" ref="J774">IF(AND(I774&gt;=0,I774&lt;=20),0,IF(AND(I774&gt;20,I774&lt;=40),1, IF(AND(I774&gt;40,I774&lt;=60),2,IF(AND(I774&gt;60,I774&lt;=80),3, IF(AND(I774&gt;80,I774&lt;=100),4,”5”)))))</f>
        <v>0</v>
      </c>
    </row>
    <row r="775" spans="1:10" x14ac:dyDescent="0.3">
      <c r="A775" t="str">
        <f t="shared" si="18"/>
        <v>59038_162</v>
      </c>
      <c r="B775">
        <f>VLOOKUP(C775,[1]lookuptable!$A$1:$C$7,2,0)</f>
        <v>59038</v>
      </c>
      <c r="C775" t="s">
        <v>15</v>
      </c>
      <c r="D775" s="1">
        <v>162</v>
      </c>
      <c r="E775">
        <v>1</v>
      </c>
      <c r="F775">
        <v>219</v>
      </c>
      <c r="G775">
        <v>220</v>
      </c>
      <c r="H775">
        <v>338</v>
      </c>
      <c r="I775" s="2">
        <v>65.088757400000006</v>
      </c>
      <c r="J775" cm="1">
        <f t="array" ref="J775">IF(AND(I775&gt;=0,I775&lt;=20),0,IF(AND(I775&gt;20,I775&lt;=40),1, IF(AND(I775&gt;40,I775&lt;=60),2,IF(AND(I775&gt;60,I775&lt;=80),3, IF(AND(I775&gt;80,I775&lt;=100),4,”5”)))))</f>
        <v>3</v>
      </c>
    </row>
    <row r="776" spans="1:10" x14ac:dyDescent="0.3">
      <c r="A776" t="str">
        <f t="shared" si="18"/>
        <v>59038_163</v>
      </c>
      <c r="B776">
        <f>VLOOKUP(C776,[1]lookuptable!$A$1:$C$7,2,0)</f>
        <v>59038</v>
      </c>
      <c r="C776" t="s">
        <v>15</v>
      </c>
      <c r="D776" s="1">
        <v>163</v>
      </c>
      <c r="E776">
        <v>0</v>
      </c>
      <c r="F776">
        <v>114</v>
      </c>
      <c r="G776">
        <v>114</v>
      </c>
      <c r="H776">
        <v>585</v>
      </c>
      <c r="I776" s="2">
        <v>19.487179489999999</v>
      </c>
      <c r="J776" cm="1">
        <f t="array" ref="J776">IF(AND(I776&gt;=0,I776&lt;=20),0,IF(AND(I776&gt;20,I776&lt;=40),1, IF(AND(I776&gt;40,I776&lt;=60),2,IF(AND(I776&gt;60,I776&lt;=80),3, IF(AND(I776&gt;80,I776&lt;=100),4,”5”)))))</f>
        <v>0</v>
      </c>
    </row>
    <row r="777" spans="1:10" x14ac:dyDescent="0.3">
      <c r="A777" t="str">
        <f t="shared" si="18"/>
        <v>59038_164</v>
      </c>
      <c r="B777">
        <f>VLOOKUP(C777,[1]lookuptable!$A$1:$C$7,2,0)</f>
        <v>59038</v>
      </c>
      <c r="C777" t="s">
        <v>15</v>
      </c>
      <c r="D777" s="1">
        <v>164</v>
      </c>
      <c r="E777">
        <v>0</v>
      </c>
      <c r="F777">
        <v>132</v>
      </c>
      <c r="G777">
        <v>132</v>
      </c>
      <c r="H777">
        <v>534</v>
      </c>
      <c r="I777" s="2">
        <v>24.719101120000001</v>
      </c>
      <c r="J777" cm="1">
        <f t="array" ref="J777">IF(AND(I777&gt;=0,I777&lt;=20),0,IF(AND(I777&gt;20,I777&lt;=40),1, IF(AND(I777&gt;40,I777&lt;=60),2,IF(AND(I777&gt;60,I777&lt;=80),3, IF(AND(I777&gt;80,I777&lt;=100),4,”5”)))))</f>
        <v>1</v>
      </c>
    </row>
    <row r="778" spans="1:10" x14ac:dyDescent="0.3">
      <c r="A778" t="str">
        <f t="shared" si="18"/>
        <v>59038_166</v>
      </c>
      <c r="B778">
        <f>VLOOKUP(C778,[1]lookuptable!$A$1:$C$7,2,0)</f>
        <v>59038</v>
      </c>
      <c r="C778" t="s">
        <v>15</v>
      </c>
      <c r="D778" s="1">
        <v>166</v>
      </c>
      <c r="E778">
        <v>1</v>
      </c>
      <c r="F778">
        <v>163</v>
      </c>
      <c r="G778">
        <v>164</v>
      </c>
      <c r="H778">
        <v>590</v>
      </c>
      <c r="I778" s="2">
        <v>27.796610170000001</v>
      </c>
      <c r="J778" cm="1">
        <f t="array" ref="J778">IF(AND(I778&gt;=0,I778&lt;=20),0,IF(AND(I778&gt;20,I778&lt;=40),1, IF(AND(I778&gt;40,I778&lt;=60),2,IF(AND(I778&gt;60,I778&lt;=80),3, IF(AND(I778&gt;80,I778&lt;=100),4,”5”)))))</f>
        <v>1</v>
      </c>
    </row>
    <row r="779" spans="1:10" x14ac:dyDescent="0.3">
      <c r="A779" t="str">
        <f t="shared" si="18"/>
        <v>59038_167</v>
      </c>
      <c r="B779">
        <f>VLOOKUP(C779,[1]lookuptable!$A$1:$C$7,2,0)</f>
        <v>59038</v>
      </c>
      <c r="C779" t="s">
        <v>15</v>
      </c>
      <c r="D779" s="1">
        <v>167</v>
      </c>
      <c r="E779">
        <v>2</v>
      </c>
      <c r="F779">
        <v>200</v>
      </c>
      <c r="G779">
        <v>202</v>
      </c>
      <c r="H779">
        <v>779</v>
      </c>
      <c r="I779" s="2">
        <v>25.93068036</v>
      </c>
      <c r="J779" cm="1">
        <f t="array" ref="J779">IF(AND(I779&gt;=0,I779&lt;=20),0,IF(AND(I779&gt;20,I779&lt;=40),1, IF(AND(I779&gt;40,I779&lt;=60),2,IF(AND(I779&gt;60,I779&lt;=80),3, IF(AND(I779&gt;80,I779&lt;=100),4,”5”)))))</f>
        <v>1</v>
      </c>
    </row>
    <row r="780" spans="1:10" x14ac:dyDescent="0.3">
      <c r="A780" t="str">
        <f t="shared" si="18"/>
        <v>59038_401</v>
      </c>
      <c r="B780">
        <f>VLOOKUP(C780,[1]lookuptable!$A$1:$C$7,2,0)</f>
        <v>59038</v>
      </c>
      <c r="C780" t="s">
        <v>15</v>
      </c>
      <c r="D780" s="1">
        <v>401</v>
      </c>
      <c r="E780">
        <v>0</v>
      </c>
      <c r="F780">
        <v>97</v>
      </c>
      <c r="G780">
        <v>97</v>
      </c>
      <c r="H780">
        <v>299</v>
      </c>
      <c r="I780" s="2">
        <v>32.441471569999997</v>
      </c>
      <c r="J780" cm="1">
        <f t="array" ref="J780">IF(AND(I780&gt;=0,I780&lt;=20),0,IF(AND(I780&gt;20,I780&lt;=40),1, IF(AND(I780&gt;40,I780&lt;=60),2,IF(AND(I780&gt;60,I780&lt;=80),3, IF(AND(I780&gt;80,I780&lt;=100),4,”5”)))))</f>
        <v>1</v>
      </c>
    </row>
    <row r="781" spans="1:10" x14ac:dyDescent="0.3">
      <c r="A781" t="str">
        <f t="shared" si="18"/>
        <v>59039_ 1A</v>
      </c>
      <c r="B781">
        <f>VLOOKUP(C781,[1]lookuptable!$A$1:$C$7,2,0)</f>
        <v>59039</v>
      </c>
      <c r="C781" t="s">
        <v>16</v>
      </c>
      <c r="D781" s="1" t="s">
        <v>17</v>
      </c>
      <c r="E781">
        <v>0</v>
      </c>
      <c r="F781">
        <v>340</v>
      </c>
      <c r="G781">
        <v>340</v>
      </c>
      <c r="H781">
        <v>581</v>
      </c>
      <c r="I781" s="2">
        <v>58.519793460000002</v>
      </c>
      <c r="J781" cm="1">
        <f t="array" ref="J781">IF(AND(I781&gt;=0,I781&lt;=20),0,IF(AND(I781&gt;20,I781&lt;=40),1, IF(AND(I781&gt;40,I781&lt;=60),2,IF(AND(I781&gt;60,I781&lt;=80),3, IF(AND(I781&gt;80,I781&lt;=100),4,”5”)))))</f>
        <v>2</v>
      </c>
    </row>
    <row r="782" spans="1:10" x14ac:dyDescent="0.3">
      <c r="A782" t="str">
        <f t="shared" si="18"/>
        <v>59039_2</v>
      </c>
      <c r="B782">
        <f>VLOOKUP(C782,[1]lookuptable!$A$1:$C$7,2,0)</f>
        <v>59039</v>
      </c>
      <c r="C782" t="s">
        <v>16</v>
      </c>
      <c r="D782" s="1">
        <v>2</v>
      </c>
      <c r="E782">
        <v>0</v>
      </c>
      <c r="F782">
        <v>200</v>
      </c>
      <c r="G782">
        <v>200</v>
      </c>
      <c r="H782">
        <v>407</v>
      </c>
      <c r="I782" s="2">
        <v>49.140049140000002</v>
      </c>
      <c r="J782" cm="1">
        <f t="array" ref="J782">IF(AND(I782&gt;=0,I782&lt;=20),0,IF(AND(I782&gt;20,I782&lt;=40),1, IF(AND(I782&gt;40,I782&lt;=60),2,IF(AND(I782&gt;60,I782&lt;=80),3, IF(AND(I782&gt;80,I782&lt;=100),4,”5”)))))</f>
        <v>2</v>
      </c>
    </row>
    <row r="783" spans="1:10" x14ac:dyDescent="0.3">
      <c r="A783" t="str">
        <f t="shared" si="18"/>
        <v>59039_3</v>
      </c>
      <c r="B783">
        <f>VLOOKUP(C783,[1]lookuptable!$A$1:$C$7,2,0)</f>
        <v>59039</v>
      </c>
      <c r="C783" t="s">
        <v>16</v>
      </c>
      <c r="D783" s="1">
        <v>3</v>
      </c>
      <c r="E783">
        <v>0</v>
      </c>
      <c r="F783">
        <v>79</v>
      </c>
      <c r="G783">
        <v>79</v>
      </c>
      <c r="H783">
        <v>459</v>
      </c>
      <c r="I783" s="2">
        <v>17.211328980000001</v>
      </c>
      <c r="J783" cm="1">
        <f t="array" ref="J783">IF(AND(I783&gt;=0,I783&lt;=20),0,IF(AND(I783&gt;20,I783&lt;=40),1, IF(AND(I783&gt;40,I783&lt;=60),2,IF(AND(I783&gt;60,I783&lt;=80),3, IF(AND(I783&gt;80,I783&lt;=100),4,”5”)))))</f>
        <v>0</v>
      </c>
    </row>
    <row r="784" spans="1:10" x14ac:dyDescent="0.3">
      <c r="A784" t="str">
        <f t="shared" si="18"/>
        <v>59039_4</v>
      </c>
      <c r="B784">
        <f>VLOOKUP(C784,[1]lookuptable!$A$1:$C$7,2,0)</f>
        <v>59039</v>
      </c>
      <c r="C784" t="s">
        <v>16</v>
      </c>
      <c r="D784" s="1">
        <v>4</v>
      </c>
      <c r="E784">
        <v>2</v>
      </c>
      <c r="F784">
        <v>97</v>
      </c>
      <c r="G784">
        <v>99</v>
      </c>
      <c r="H784">
        <v>425</v>
      </c>
      <c r="I784" s="2">
        <v>23.29411765</v>
      </c>
      <c r="J784" cm="1">
        <f t="array" ref="J784">IF(AND(I784&gt;=0,I784&lt;=20),0,IF(AND(I784&gt;20,I784&lt;=40),1, IF(AND(I784&gt;40,I784&lt;=60),2,IF(AND(I784&gt;60,I784&lt;=80),3, IF(AND(I784&gt;80,I784&lt;=100),4,”5”)))))</f>
        <v>1</v>
      </c>
    </row>
    <row r="785" spans="1:10" x14ac:dyDescent="0.3">
      <c r="A785" t="str">
        <f t="shared" si="18"/>
        <v>59039_5</v>
      </c>
      <c r="B785">
        <f>VLOOKUP(C785,[1]lookuptable!$A$1:$C$7,2,0)</f>
        <v>59039</v>
      </c>
      <c r="C785" t="s">
        <v>16</v>
      </c>
      <c r="D785" s="1">
        <v>5</v>
      </c>
      <c r="E785">
        <v>1</v>
      </c>
      <c r="F785">
        <v>86</v>
      </c>
      <c r="G785">
        <v>87</v>
      </c>
      <c r="H785">
        <v>470</v>
      </c>
      <c r="I785" s="2">
        <v>18.5106383</v>
      </c>
      <c r="J785" cm="1">
        <f t="array" ref="J785">IF(AND(I785&gt;=0,I785&lt;=20),0,IF(AND(I785&gt;20,I785&lt;=40),1, IF(AND(I785&gt;40,I785&lt;=60),2,IF(AND(I785&gt;60,I785&lt;=80),3, IF(AND(I785&gt;80,I785&lt;=100),4,”5”)))))</f>
        <v>0</v>
      </c>
    </row>
    <row r="786" spans="1:10" x14ac:dyDescent="0.3">
      <c r="A786" t="str">
        <f t="shared" si="18"/>
        <v>59039_6</v>
      </c>
      <c r="B786">
        <f>VLOOKUP(C786,[1]lookuptable!$A$1:$C$7,2,0)</f>
        <v>59039</v>
      </c>
      <c r="C786" t="s">
        <v>16</v>
      </c>
      <c r="D786" s="1">
        <v>6</v>
      </c>
      <c r="E786">
        <v>1</v>
      </c>
      <c r="F786">
        <v>135</v>
      </c>
      <c r="G786">
        <v>136</v>
      </c>
      <c r="H786">
        <v>494</v>
      </c>
      <c r="I786" s="2">
        <v>27.530364370000001</v>
      </c>
      <c r="J786" cm="1">
        <f t="array" ref="J786">IF(AND(I786&gt;=0,I786&lt;=20),0,IF(AND(I786&gt;20,I786&lt;=40),1, IF(AND(I786&gt;40,I786&lt;=60),2,IF(AND(I786&gt;60,I786&lt;=80),3, IF(AND(I786&gt;80,I786&lt;=100),4,”5”)))))</f>
        <v>1</v>
      </c>
    </row>
    <row r="787" spans="1:10" x14ac:dyDescent="0.3">
      <c r="A787" t="str">
        <f t="shared" si="18"/>
        <v>59039_7</v>
      </c>
      <c r="B787">
        <f>VLOOKUP(C787,[1]lookuptable!$A$1:$C$7,2,0)</f>
        <v>59039</v>
      </c>
      <c r="C787" t="s">
        <v>16</v>
      </c>
      <c r="D787" s="1">
        <v>7</v>
      </c>
      <c r="E787">
        <v>1</v>
      </c>
      <c r="F787">
        <v>313</v>
      </c>
      <c r="G787">
        <v>314</v>
      </c>
      <c r="H787">
        <v>564</v>
      </c>
      <c r="I787" s="2">
        <v>55.67375887</v>
      </c>
      <c r="J787" cm="1">
        <f t="array" ref="J787">IF(AND(I787&gt;=0,I787&lt;=20),0,IF(AND(I787&gt;20,I787&lt;=40),1, IF(AND(I787&gt;40,I787&lt;=60),2,IF(AND(I787&gt;60,I787&lt;=80),3, IF(AND(I787&gt;80,I787&lt;=100),4,”5”)))))</f>
        <v>2</v>
      </c>
    </row>
    <row r="788" spans="1:10" x14ac:dyDescent="0.3">
      <c r="A788" t="str">
        <f t="shared" si="18"/>
        <v>59039_8</v>
      </c>
      <c r="B788">
        <f>VLOOKUP(C788,[1]lookuptable!$A$1:$C$7,2,0)</f>
        <v>59039</v>
      </c>
      <c r="C788" t="s">
        <v>16</v>
      </c>
      <c r="D788" s="1">
        <v>8</v>
      </c>
      <c r="E788">
        <v>1</v>
      </c>
      <c r="F788">
        <v>129</v>
      </c>
      <c r="G788">
        <v>130</v>
      </c>
      <c r="H788">
        <v>362</v>
      </c>
      <c r="I788" s="2">
        <v>35.911602209999998</v>
      </c>
      <c r="J788" cm="1">
        <f t="array" ref="J788">IF(AND(I788&gt;=0,I788&lt;=20),0,IF(AND(I788&gt;20,I788&lt;=40),1, IF(AND(I788&gt;40,I788&lt;=60),2,IF(AND(I788&gt;60,I788&lt;=80),3, IF(AND(I788&gt;80,I788&lt;=100),4,”5”)))))</f>
        <v>1</v>
      </c>
    </row>
    <row r="789" spans="1:10" x14ac:dyDescent="0.3">
      <c r="A789" t="str">
        <f t="shared" si="18"/>
        <v>59039_9</v>
      </c>
      <c r="B789">
        <f>VLOOKUP(C789,[1]lookuptable!$A$1:$C$7,2,0)</f>
        <v>59039</v>
      </c>
      <c r="C789" t="s">
        <v>16</v>
      </c>
      <c r="D789" s="1">
        <v>9</v>
      </c>
      <c r="E789">
        <v>1</v>
      </c>
      <c r="F789">
        <v>86</v>
      </c>
      <c r="G789">
        <v>87</v>
      </c>
      <c r="H789">
        <v>412</v>
      </c>
      <c r="I789" s="2">
        <v>21.116504849999998</v>
      </c>
      <c r="J789" cm="1">
        <f t="array" ref="J789">IF(AND(I789&gt;=0,I789&lt;=20),0,IF(AND(I789&gt;20,I789&lt;=40),1, IF(AND(I789&gt;40,I789&lt;=60),2,IF(AND(I789&gt;60,I789&lt;=80),3, IF(AND(I789&gt;80,I789&lt;=100),4,”5”)))))</f>
        <v>1</v>
      </c>
    </row>
    <row r="790" spans="1:10" x14ac:dyDescent="0.3">
      <c r="A790" t="str">
        <f t="shared" si="18"/>
        <v>59039_10</v>
      </c>
      <c r="B790">
        <f>VLOOKUP(C790,[1]lookuptable!$A$1:$C$7,2,0)</f>
        <v>59039</v>
      </c>
      <c r="C790" t="s">
        <v>16</v>
      </c>
      <c r="D790" s="1">
        <v>10</v>
      </c>
      <c r="E790">
        <v>1</v>
      </c>
      <c r="F790">
        <v>142</v>
      </c>
      <c r="G790">
        <v>143</v>
      </c>
      <c r="H790">
        <v>397</v>
      </c>
      <c r="I790" s="2">
        <v>36.020151130000002</v>
      </c>
      <c r="J790" cm="1">
        <f t="array" ref="J790">IF(AND(I790&gt;=0,I790&lt;=20),0,IF(AND(I790&gt;20,I790&lt;=40),1, IF(AND(I790&gt;40,I790&lt;=60),2,IF(AND(I790&gt;60,I790&lt;=80),3, IF(AND(I790&gt;80,I790&lt;=100),4,”5”)))))</f>
        <v>1</v>
      </c>
    </row>
    <row r="791" spans="1:10" x14ac:dyDescent="0.3">
      <c r="A791" t="str">
        <f t="shared" si="18"/>
        <v>59039_11</v>
      </c>
      <c r="B791">
        <f>VLOOKUP(C791,[1]lookuptable!$A$1:$C$7,2,0)</f>
        <v>59039</v>
      </c>
      <c r="C791" t="s">
        <v>16</v>
      </c>
      <c r="D791" s="1">
        <v>11</v>
      </c>
      <c r="E791">
        <v>1</v>
      </c>
      <c r="F791">
        <v>119</v>
      </c>
      <c r="G791">
        <v>120</v>
      </c>
      <c r="H791">
        <v>354</v>
      </c>
      <c r="I791" s="2">
        <v>33.89830508</v>
      </c>
      <c r="J791" cm="1">
        <f t="array" ref="J791">IF(AND(I791&gt;=0,I791&lt;=20),0,IF(AND(I791&gt;20,I791&lt;=40),1, IF(AND(I791&gt;40,I791&lt;=60),2,IF(AND(I791&gt;60,I791&lt;=80),3, IF(AND(I791&gt;80,I791&lt;=100),4,”5”)))))</f>
        <v>1</v>
      </c>
    </row>
    <row r="792" spans="1:10" x14ac:dyDescent="0.3">
      <c r="A792" t="str">
        <f t="shared" si="18"/>
        <v>59039_12</v>
      </c>
      <c r="B792">
        <f>VLOOKUP(C792,[1]lookuptable!$A$1:$C$7,2,0)</f>
        <v>59039</v>
      </c>
      <c r="C792" t="s">
        <v>16</v>
      </c>
      <c r="D792" s="1">
        <v>12</v>
      </c>
      <c r="E792">
        <v>0</v>
      </c>
      <c r="F792">
        <v>109</v>
      </c>
      <c r="G792">
        <v>109</v>
      </c>
      <c r="H792">
        <v>346</v>
      </c>
      <c r="I792" s="2">
        <v>31.502890170000001</v>
      </c>
      <c r="J792" cm="1">
        <f t="array" ref="J792">IF(AND(I792&gt;=0,I792&lt;=20),0,IF(AND(I792&gt;20,I792&lt;=40),1, IF(AND(I792&gt;40,I792&lt;=60),2,IF(AND(I792&gt;60,I792&lt;=80),3, IF(AND(I792&gt;80,I792&lt;=100),4,”5”)))))</f>
        <v>1</v>
      </c>
    </row>
    <row r="793" spans="1:10" x14ac:dyDescent="0.3">
      <c r="A793" t="str">
        <f t="shared" si="18"/>
        <v>59039_13</v>
      </c>
      <c r="B793">
        <f>VLOOKUP(C793,[1]lookuptable!$A$1:$C$7,2,0)</f>
        <v>59039</v>
      </c>
      <c r="C793" t="s">
        <v>16</v>
      </c>
      <c r="D793" s="1">
        <v>13</v>
      </c>
      <c r="E793">
        <v>0</v>
      </c>
      <c r="F793">
        <v>149</v>
      </c>
      <c r="G793">
        <v>149</v>
      </c>
      <c r="H793">
        <v>544</v>
      </c>
      <c r="I793" s="2">
        <v>27.389705880000001</v>
      </c>
      <c r="J793" cm="1">
        <f t="array" ref="J793">IF(AND(I793&gt;=0,I793&lt;=20),0,IF(AND(I793&gt;20,I793&lt;=40),1, IF(AND(I793&gt;40,I793&lt;=60),2,IF(AND(I793&gt;60,I793&lt;=80),3, IF(AND(I793&gt;80,I793&lt;=100),4,”5”)))))</f>
        <v>1</v>
      </c>
    </row>
    <row r="794" spans="1:10" x14ac:dyDescent="0.3">
      <c r="A794" t="str">
        <f t="shared" si="18"/>
        <v>59039_14</v>
      </c>
      <c r="B794">
        <f>VLOOKUP(C794,[1]lookuptable!$A$1:$C$7,2,0)</f>
        <v>59039</v>
      </c>
      <c r="C794" t="s">
        <v>16</v>
      </c>
      <c r="D794" s="1">
        <v>14</v>
      </c>
      <c r="E794">
        <v>0</v>
      </c>
      <c r="F794">
        <v>85</v>
      </c>
      <c r="G794">
        <v>85</v>
      </c>
      <c r="H794">
        <v>268</v>
      </c>
      <c r="I794" s="2">
        <v>31.716417910000001</v>
      </c>
      <c r="J794" cm="1">
        <f t="array" ref="J794">IF(AND(I794&gt;=0,I794&lt;=20),0,IF(AND(I794&gt;20,I794&lt;=40),1, IF(AND(I794&gt;40,I794&lt;=60),2,IF(AND(I794&gt;60,I794&lt;=80),3, IF(AND(I794&gt;80,I794&lt;=100),4,”5”)))))</f>
        <v>1</v>
      </c>
    </row>
    <row r="795" spans="1:10" x14ac:dyDescent="0.3">
      <c r="A795" t="str">
        <f t="shared" si="18"/>
        <v>59039_15</v>
      </c>
      <c r="B795">
        <f>VLOOKUP(C795,[1]lookuptable!$A$1:$C$7,2,0)</f>
        <v>59039</v>
      </c>
      <c r="C795" t="s">
        <v>16</v>
      </c>
      <c r="D795" s="1">
        <v>15</v>
      </c>
      <c r="E795">
        <v>1</v>
      </c>
      <c r="F795">
        <v>160</v>
      </c>
      <c r="G795">
        <v>161</v>
      </c>
      <c r="H795">
        <v>570</v>
      </c>
      <c r="I795" s="2">
        <v>28.24561404</v>
      </c>
      <c r="J795" cm="1">
        <f t="array" ref="J795">IF(AND(I795&gt;=0,I795&lt;=20),0,IF(AND(I795&gt;20,I795&lt;=40),1, IF(AND(I795&gt;40,I795&lt;=60),2,IF(AND(I795&gt;60,I795&lt;=80),3, IF(AND(I795&gt;80,I795&lt;=100),4,”5”)))))</f>
        <v>1</v>
      </c>
    </row>
    <row r="796" spans="1:10" x14ac:dyDescent="0.3">
      <c r="A796" t="str">
        <f t="shared" si="18"/>
        <v>59039_16</v>
      </c>
      <c r="B796">
        <f>VLOOKUP(C796,[1]lookuptable!$A$1:$C$7,2,0)</f>
        <v>59039</v>
      </c>
      <c r="C796" t="s">
        <v>16</v>
      </c>
      <c r="D796" s="1">
        <v>16</v>
      </c>
      <c r="E796">
        <v>1</v>
      </c>
      <c r="F796">
        <v>178</v>
      </c>
      <c r="G796">
        <v>179</v>
      </c>
      <c r="H796">
        <v>596</v>
      </c>
      <c r="I796" s="2">
        <v>30.033557049999999</v>
      </c>
      <c r="J796" cm="1">
        <f t="array" ref="J796">IF(AND(I796&gt;=0,I796&lt;=20),0,IF(AND(I796&gt;20,I796&lt;=40),1, IF(AND(I796&gt;40,I796&lt;=60),2,IF(AND(I796&gt;60,I796&lt;=80),3, IF(AND(I796&gt;80,I796&lt;=100),4,”5”)))))</f>
        <v>1</v>
      </c>
    </row>
    <row r="797" spans="1:10" x14ac:dyDescent="0.3">
      <c r="A797" t="str">
        <f t="shared" si="18"/>
        <v>59039_17</v>
      </c>
      <c r="B797">
        <f>VLOOKUP(C797,[1]lookuptable!$A$1:$C$7,2,0)</f>
        <v>59039</v>
      </c>
      <c r="C797" t="s">
        <v>16</v>
      </c>
      <c r="D797" s="1">
        <v>17</v>
      </c>
      <c r="E797">
        <v>1</v>
      </c>
      <c r="F797">
        <v>132</v>
      </c>
      <c r="G797">
        <v>133</v>
      </c>
      <c r="H797">
        <v>455</v>
      </c>
      <c r="I797" s="2">
        <v>29.23076923</v>
      </c>
      <c r="J797" cm="1">
        <f t="array" ref="J797">IF(AND(I797&gt;=0,I797&lt;=20),0,IF(AND(I797&gt;20,I797&lt;=40),1, IF(AND(I797&gt;40,I797&lt;=60),2,IF(AND(I797&gt;60,I797&lt;=80),3, IF(AND(I797&gt;80,I797&lt;=100),4,”5”)))))</f>
        <v>1</v>
      </c>
    </row>
    <row r="798" spans="1:10" x14ac:dyDescent="0.3">
      <c r="A798" t="str">
        <f t="shared" si="18"/>
        <v>59039_18</v>
      </c>
      <c r="B798">
        <f>VLOOKUP(C798,[1]lookuptable!$A$1:$C$7,2,0)</f>
        <v>59039</v>
      </c>
      <c r="C798" t="s">
        <v>16</v>
      </c>
      <c r="D798" s="1">
        <v>18</v>
      </c>
      <c r="E798">
        <v>0</v>
      </c>
      <c r="F798">
        <v>168</v>
      </c>
      <c r="G798">
        <v>168</v>
      </c>
      <c r="H798">
        <v>617</v>
      </c>
      <c r="I798" s="2">
        <v>27.22852512</v>
      </c>
      <c r="J798" cm="1">
        <f t="array" ref="J798">IF(AND(I798&gt;=0,I798&lt;=20),0,IF(AND(I798&gt;20,I798&lt;=40),1, IF(AND(I798&gt;40,I798&lt;=60),2,IF(AND(I798&gt;60,I798&lt;=80),3, IF(AND(I798&gt;80,I798&lt;=100),4,”5”)))))</f>
        <v>1</v>
      </c>
    </row>
    <row r="799" spans="1:10" x14ac:dyDescent="0.3">
      <c r="A799" t="str">
        <f t="shared" si="18"/>
        <v>59039_19</v>
      </c>
      <c r="B799">
        <f>VLOOKUP(C799,[1]lookuptable!$A$1:$C$7,2,0)</f>
        <v>59039</v>
      </c>
      <c r="C799" t="s">
        <v>16</v>
      </c>
      <c r="D799" s="1">
        <v>19</v>
      </c>
      <c r="E799">
        <v>1</v>
      </c>
      <c r="F799">
        <v>166</v>
      </c>
      <c r="G799">
        <v>167</v>
      </c>
      <c r="H799">
        <v>535</v>
      </c>
      <c r="I799" s="2">
        <v>31.214953269999999</v>
      </c>
      <c r="J799" cm="1">
        <f t="array" ref="J799">IF(AND(I799&gt;=0,I799&lt;=20),0,IF(AND(I799&gt;20,I799&lt;=40),1, IF(AND(I799&gt;40,I799&lt;=60),2,IF(AND(I799&gt;60,I799&lt;=80),3, IF(AND(I799&gt;80,I799&lt;=100),4,”5”)))))</f>
        <v>1</v>
      </c>
    </row>
    <row r="800" spans="1:10" x14ac:dyDescent="0.3">
      <c r="A800" t="str">
        <f t="shared" si="18"/>
        <v>59039_20</v>
      </c>
      <c r="B800">
        <f>VLOOKUP(C800,[1]lookuptable!$A$1:$C$7,2,0)</f>
        <v>59039</v>
      </c>
      <c r="C800" t="s">
        <v>16</v>
      </c>
      <c r="D800" s="1">
        <v>20</v>
      </c>
      <c r="E800">
        <v>0</v>
      </c>
      <c r="F800">
        <v>143</v>
      </c>
      <c r="G800">
        <v>143</v>
      </c>
      <c r="H800">
        <v>572</v>
      </c>
      <c r="I800" s="2">
        <v>25</v>
      </c>
      <c r="J800" cm="1">
        <f t="array" ref="J800">IF(AND(I800&gt;=0,I800&lt;=20),0,IF(AND(I800&gt;20,I800&lt;=40),1, IF(AND(I800&gt;40,I800&lt;=60),2,IF(AND(I800&gt;60,I800&lt;=80),3, IF(AND(I800&gt;80,I800&lt;=100),4,”5”)))))</f>
        <v>1</v>
      </c>
    </row>
    <row r="801" spans="1:10" x14ac:dyDescent="0.3">
      <c r="A801" t="str">
        <f t="shared" si="18"/>
        <v>59039_21</v>
      </c>
      <c r="B801">
        <f>VLOOKUP(C801,[1]lookuptable!$A$1:$C$7,2,0)</f>
        <v>59039</v>
      </c>
      <c r="C801" t="s">
        <v>16</v>
      </c>
      <c r="D801" s="1">
        <v>21</v>
      </c>
      <c r="E801">
        <v>1</v>
      </c>
      <c r="F801">
        <v>135</v>
      </c>
      <c r="G801">
        <v>136</v>
      </c>
      <c r="H801">
        <v>495</v>
      </c>
      <c r="I801" s="2">
        <v>27.474747470000001</v>
      </c>
      <c r="J801" cm="1">
        <f t="array" ref="J801">IF(AND(I801&gt;=0,I801&lt;=20),0,IF(AND(I801&gt;20,I801&lt;=40),1, IF(AND(I801&gt;40,I801&lt;=60),2,IF(AND(I801&gt;60,I801&lt;=80),3, IF(AND(I801&gt;80,I801&lt;=100),4,”5”)))))</f>
        <v>1</v>
      </c>
    </row>
    <row r="802" spans="1:10" x14ac:dyDescent="0.3">
      <c r="A802" t="str">
        <f t="shared" si="18"/>
        <v>59039_22</v>
      </c>
      <c r="B802">
        <f>VLOOKUP(C802,[1]lookuptable!$A$1:$C$7,2,0)</f>
        <v>59039</v>
      </c>
      <c r="C802" t="s">
        <v>16</v>
      </c>
      <c r="D802" s="1">
        <v>22</v>
      </c>
      <c r="E802">
        <v>0</v>
      </c>
      <c r="F802">
        <v>181</v>
      </c>
      <c r="G802">
        <v>181</v>
      </c>
      <c r="H802">
        <v>574</v>
      </c>
      <c r="I802" s="2">
        <v>31.533101049999999</v>
      </c>
      <c r="J802" cm="1">
        <f t="array" ref="J802">IF(AND(I802&gt;=0,I802&lt;=20),0,IF(AND(I802&gt;20,I802&lt;=40),1, IF(AND(I802&gt;40,I802&lt;=60),2,IF(AND(I802&gt;60,I802&lt;=80),3, IF(AND(I802&gt;80,I802&lt;=100),4,”5”)))))</f>
        <v>1</v>
      </c>
    </row>
    <row r="803" spans="1:10" x14ac:dyDescent="0.3">
      <c r="A803" t="str">
        <f t="shared" si="18"/>
        <v>59039_23</v>
      </c>
      <c r="B803">
        <f>VLOOKUP(C803,[1]lookuptable!$A$1:$C$7,2,0)</f>
        <v>59039</v>
      </c>
      <c r="C803" t="s">
        <v>16</v>
      </c>
      <c r="D803" s="1">
        <v>23</v>
      </c>
      <c r="E803">
        <v>1</v>
      </c>
      <c r="F803">
        <v>165</v>
      </c>
      <c r="G803">
        <v>166</v>
      </c>
      <c r="H803">
        <v>512</v>
      </c>
      <c r="I803" s="2">
        <v>32.421875</v>
      </c>
      <c r="J803" cm="1">
        <f t="array" ref="J803">IF(AND(I803&gt;=0,I803&lt;=20),0,IF(AND(I803&gt;20,I803&lt;=40),1, IF(AND(I803&gt;40,I803&lt;=60),2,IF(AND(I803&gt;60,I803&lt;=80),3, IF(AND(I803&gt;80,I803&lt;=100),4,”5”)))))</f>
        <v>1</v>
      </c>
    </row>
    <row r="804" spans="1:10" x14ac:dyDescent="0.3">
      <c r="A804" t="str">
        <f t="shared" si="18"/>
        <v>59039_24</v>
      </c>
      <c r="B804">
        <f>VLOOKUP(C804,[1]lookuptable!$A$1:$C$7,2,0)</f>
        <v>59039</v>
      </c>
      <c r="C804" t="s">
        <v>16</v>
      </c>
      <c r="D804" s="1">
        <v>24</v>
      </c>
      <c r="E804">
        <v>0</v>
      </c>
      <c r="F804">
        <v>146</v>
      </c>
      <c r="G804">
        <v>146</v>
      </c>
      <c r="H804">
        <v>518</v>
      </c>
      <c r="I804" s="2">
        <v>28.18532819</v>
      </c>
      <c r="J804" cm="1">
        <f t="array" ref="J804">IF(AND(I804&gt;=0,I804&lt;=20),0,IF(AND(I804&gt;20,I804&lt;=40),1, IF(AND(I804&gt;40,I804&lt;=60),2,IF(AND(I804&gt;60,I804&lt;=80),3, IF(AND(I804&gt;80,I804&lt;=100),4,”5”)))))</f>
        <v>1</v>
      </c>
    </row>
    <row r="805" spans="1:10" x14ac:dyDescent="0.3">
      <c r="A805" t="str">
        <f t="shared" si="18"/>
        <v>59039_25</v>
      </c>
      <c r="B805">
        <f>VLOOKUP(C805,[1]lookuptable!$A$1:$C$7,2,0)</f>
        <v>59039</v>
      </c>
      <c r="C805" t="s">
        <v>16</v>
      </c>
      <c r="D805" s="1">
        <v>25</v>
      </c>
      <c r="E805">
        <v>0</v>
      </c>
      <c r="F805">
        <v>194</v>
      </c>
      <c r="G805">
        <v>194</v>
      </c>
      <c r="H805">
        <v>576</v>
      </c>
      <c r="I805" s="2">
        <v>33.680555560000002</v>
      </c>
      <c r="J805" cm="1">
        <f t="array" ref="J805">IF(AND(I805&gt;=0,I805&lt;=20),0,IF(AND(I805&gt;20,I805&lt;=40),1, IF(AND(I805&gt;40,I805&lt;=60),2,IF(AND(I805&gt;60,I805&lt;=80),3, IF(AND(I805&gt;80,I805&lt;=100),4,”5”)))))</f>
        <v>1</v>
      </c>
    </row>
    <row r="806" spans="1:10" x14ac:dyDescent="0.3">
      <c r="A806" t="str">
        <f t="shared" si="18"/>
        <v>59039_26</v>
      </c>
      <c r="B806">
        <f>VLOOKUP(C806,[1]lookuptable!$A$1:$C$7,2,0)</f>
        <v>59039</v>
      </c>
      <c r="C806" t="s">
        <v>16</v>
      </c>
      <c r="D806" s="1">
        <v>26</v>
      </c>
      <c r="E806">
        <v>0</v>
      </c>
      <c r="F806">
        <v>177</v>
      </c>
      <c r="G806">
        <v>177</v>
      </c>
      <c r="H806">
        <v>571</v>
      </c>
      <c r="I806" s="2">
        <v>30.99824869</v>
      </c>
      <c r="J806" cm="1">
        <f t="array" ref="J806">IF(AND(I806&gt;=0,I806&lt;=20),0,IF(AND(I806&gt;20,I806&lt;=40),1, IF(AND(I806&gt;40,I806&lt;=60),2,IF(AND(I806&gt;60,I806&lt;=80),3, IF(AND(I806&gt;80,I806&lt;=100),4,”5”)))))</f>
        <v>1</v>
      </c>
    </row>
    <row r="807" spans="1:10" x14ac:dyDescent="0.3">
      <c r="A807" t="str">
        <f t="shared" si="18"/>
        <v>59039_27</v>
      </c>
      <c r="B807">
        <f>VLOOKUP(C807,[1]lookuptable!$A$1:$C$7,2,0)</f>
        <v>59039</v>
      </c>
      <c r="C807" t="s">
        <v>16</v>
      </c>
      <c r="D807" s="1">
        <v>27</v>
      </c>
      <c r="E807">
        <v>0</v>
      </c>
      <c r="F807">
        <v>220</v>
      </c>
      <c r="G807">
        <v>220</v>
      </c>
      <c r="H807">
        <v>669</v>
      </c>
      <c r="I807" s="2">
        <v>32.884902840000002</v>
      </c>
      <c r="J807" cm="1">
        <f t="array" ref="J807">IF(AND(I807&gt;=0,I807&lt;=20),0,IF(AND(I807&gt;20,I807&lt;=40),1, IF(AND(I807&gt;40,I807&lt;=60),2,IF(AND(I807&gt;60,I807&lt;=80),3, IF(AND(I807&gt;80,I807&lt;=100),4,”5”)))))</f>
        <v>1</v>
      </c>
    </row>
    <row r="808" spans="1:10" x14ac:dyDescent="0.3">
      <c r="A808" t="str">
        <f t="shared" si="18"/>
        <v>59039_28</v>
      </c>
      <c r="B808">
        <f>VLOOKUP(C808,[1]lookuptable!$A$1:$C$7,2,0)</f>
        <v>59039</v>
      </c>
      <c r="C808" t="s">
        <v>16</v>
      </c>
      <c r="D808" s="1">
        <v>28</v>
      </c>
      <c r="E808">
        <v>0</v>
      </c>
      <c r="F808">
        <v>187</v>
      </c>
      <c r="G808">
        <v>187</v>
      </c>
      <c r="H808">
        <v>504</v>
      </c>
      <c r="I808" s="2">
        <v>37.103174600000003</v>
      </c>
      <c r="J808" cm="1">
        <f t="array" ref="J808">IF(AND(I808&gt;=0,I808&lt;=20),0,IF(AND(I808&gt;20,I808&lt;=40),1, IF(AND(I808&gt;40,I808&lt;=60),2,IF(AND(I808&gt;60,I808&lt;=80),3, IF(AND(I808&gt;80,I808&lt;=100),4,”5”)))))</f>
        <v>1</v>
      </c>
    </row>
    <row r="809" spans="1:10" x14ac:dyDescent="0.3">
      <c r="A809" t="str">
        <f t="shared" si="18"/>
        <v>59039_29</v>
      </c>
      <c r="B809">
        <f>VLOOKUP(C809,[1]lookuptable!$A$1:$C$7,2,0)</f>
        <v>59039</v>
      </c>
      <c r="C809" t="s">
        <v>16</v>
      </c>
      <c r="D809" s="1">
        <v>29</v>
      </c>
      <c r="E809">
        <v>0</v>
      </c>
      <c r="F809">
        <v>221</v>
      </c>
      <c r="G809">
        <v>221</v>
      </c>
      <c r="H809">
        <v>553</v>
      </c>
      <c r="I809" s="2">
        <v>39.963833630000003</v>
      </c>
      <c r="J809" cm="1">
        <f t="array" ref="J809">IF(AND(I809&gt;=0,I809&lt;=20),0,IF(AND(I809&gt;20,I809&lt;=40),1, IF(AND(I809&gt;40,I809&lt;=60),2,IF(AND(I809&gt;60,I809&lt;=80),3, IF(AND(I809&gt;80,I809&lt;=100),4,”5”)))))</f>
        <v>1</v>
      </c>
    </row>
    <row r="810" spans="1:10" x14ac:dyDescent="0.3">
      <c r="A810" t="str">
        <f t="shared" si="18"/>
        <v>59039_30</v>
      </c>
      <c r="B810">
        <f>VLOOKUP(C810,[1]lookuptable!$A$1:$C$7,2,0)</f>
        <v>59039</v>
      </c>
      <c r="C810" t="s">
        <v>16</v>
      </c>
      <c r="D810" s="1">
        <v>30</v>
      </c>
      <c r="E810">
        <v>0</v>
      </c>
      <c r="F810">
        <v>190</v>
      </c>
      <c r="G810">
        <v>190</v>
      </c>
      <c r="H810">
        <v>553</v>
      </c>
      <c r="I810" s="2">
        <v>34.358047020000001</v>
      </c>
      <c r="J810" cm="1">
        <f t="array" ref="J810">IF(AND(I810&gt;=0,I810&lt;=20),0,IF(AND(I810&gt;20,I810&lt;=40),1, IF(AND(I810&gt;40,I810&lt;=60),2,IF(AND(I810&gt;60,I810&lt;=80),3, IF(AND(I810&gt;80,I810&lt;=100),4,”5”)))))</f>
        <v>1</v>
      </c>
    </row>
    <row r="811" spans="1:10" x14ac:dyDescent="0.3">
      <c r="A811" t="str">
        <f t="shared" si="18"/>
        <v>59039_31</v>
      </c>
      <c r="B811">
        <f>VLOOKUP(C811,[1]lookuptable!$A$1:$C$7,2,0)</f>
        <v>59039</v>
      </c>
      <c r="C811" t="s">
        <v>16</v>
      </c>
      <c r="D811" s="1">
        <v>31</v>
      </c>
      <c r="E811">
        <v>1</v>
      </c>
      <c r="F811">
        <v>172</v>
      </c>
      <c r="G811">
        <v>173</v>
      </c>
      <c r="H811">
        <v>513</v>
      </c>
      <c r="I811" s="2">
        <v>33.723196880000003</v>
      </c>
      <c r="J811" cm="1">
        <f t="array" ref="J811">IF(AND(I811&gt;=0,I811&lt;=20),0,IF(AND(I811&gt;20,I811&lt;=40),1, IF(AND(I811&gt;40,I811&lt;=60),2,IF(AND(I811&gt;60,I811&lt;=80),3, IF(AND(I811&gt;80,I811&lt;=100),4,”5”)))))</f>
        <v>1</v>
      </c>
    </row>
    <row r="812" spans="1:10" x14ac:dyDescent="0.3">
      <c r="A812" t="str">
        <f t="shared" si="18"/>
        <v>59039_32</v>
      </c>
      <c r="B812">
        <f>VLOOKUP(C812,[1]lookuptable!$A$1:$C$7,2,0)</f>
        <v>59039</v>
      </c>
      <c r="C812" t="s">
        <v>16</v>
      </c>
      <c r="D812" s="1">
        <v>32</v>
      </c>
      <c r="E812">
        <v>0</v>
      </c>
      <c r="F812">
        <v>128</v>
      </c>
      <c r="G812">
        <v>128</v>
      </c>
      <c r="H812">
        <v>570</v>
      </c>
      <c r="I812" s="2">
        <v>22.456140349999998</v>
      </c>
      <c r="J812" cm="1">
        <f t="array" ref="J812">IF(AND(I812&gt;=0,I812&lt;=20),0,IF(AND(I812&gt;20,I812&lt;=40),1, IF(AND(I812&gt;40,I812&lt;=60),2,IF(AND(I812&gt;60,I812&lt;=80),3, IF(AND(I812&gt;80,I812&lt;=100),4,”5”)))))</f>
        <v>1</v>
      </c>
    </row>
    <row r="813" spans="1:10" x14ac:dyDescent="0.3">
      <c r="A813" t="str">
        <f t="shared" si="18"/>
        <v>59039_33</v>
      </c>
      <c r="B813">
        <f>VLOOKUP(C813,[1]lookuptable!$A$1:$C$7,2,0)</f>
        <v>59039</v>
      </c>
      <c r="C813" t="s">
        <v>16</v>
      </c>
      <c r="D813" s="1">
        <v>33</v>
      </c>
      <c r="E813">
        <v>2</v>
      </c>
      <c r="F813">
        <v>138</v>
      </c>
      <c r="G813">
        <v>140</v>
      </c>
      <c r="H813">
        <v>527</v>
      </c>
      <c r="I813" s="2">
        <v>26.565464899999998</v>
      </c>
      <c r="J813" cm="1">
        <f t="array" ref="J813">IF(AND(I813&gt;=0,I813&lt;=20),0,IF(AND(I813&gt;20,I813&lt;=40),1, IF(AND(I813&gt;40,I813&lt;=60),2,IF(AND(I813&gt;60,I813&lt;=80),3, IF(AND(I813&gt;80,I813&lt;=100),4,”5”)))))</f>
        <v>1</v>
      </c>
    </row>
    <row r="814" spans="1:10" x14ac:dyDescent="0.3">
      <c r="A814" t="str">
        <f t="shared" si="18"/>
        <v>59039_34</v>
      </c>
      <c r="B814">
        <f>VLOOKUP(C814,[1]lookuptable!$A$1:$C$7,2,0)</f>
        <v>59039</v>
      </c>
      <c r="C814" t="s">
        <v>16</v>
      </c>
      <c r="D814" s="1">
        <v>34</v>
      </c>
      <c r="E814">
        <v>1</v>
      </c>
      <c r="F814">
        <v>145</v>
      </c>
      <c r="G814">
        <v>146</v>
      </c>
      <c r="H814">
        <v>539</v>
      </c>
      <c r="I814" s="2">
        <v>27.087198520000001</v>
      </c>
      <c r="J814" cm="1">
        <f t="array" ref="J814">IF(AND(I814&gt;=0,I814&lt;=20),0,IF(AND(I814&gt;20,I814&lt;=40),1, IF(AND(I814&gt;40,I814&lt;=60),2,IF(AND(I814&gt;60,I814&lt;=80),3, IF(AND(I814&gt;80,I814&lt;=100),4,”5”)))))</f>
        <v>1</v>
      </c>
    </row>
    <row r="815" spans="1:10" x14ac:dyDescent="0.3">
      <c r="A815" t="str">
        <f t="shared" si="18"/>
        <v>59039_35</v>
      </c>
      <c r="B815">
        <f>VLOOKUP(C815,[1]lookuptable!$A$1:$C$7,2,0)</f>
        <v>59039</v>
      </c>
      <c r="C815" t="s">
        <v>16</v>
      </c>
      <c r="D815" s="1">
        <v>35</v>
      </c>
      <c r="E815">
        <v>0</v>
      </c>
      <c r="F815">
        <v>133</v>
      </c>
      <c r="G815">
        <v>133</v>
      </c>
      <c r="H815">
        <v>419</v>
      </c>
      <c r="I815" s="2">
        <v>31.742243439999999</v>
      </c>
      <c r="J815" cm="1">
        <f t="array" ref="J815">IF(AND(I815&gt;=0,I815&lt;=20),0,IF(AND(I815&gt;20,I815&lt;=40),1, IF(AND(I815&gt;40,I815&lt;=60),2,IF(AND(I815&gt;60,I815&lt;=80),3, IF(AND(I815&gt;80,I815&lt;=100),4,”5”)))))</f>
        <v>1</v>
      </c>
    </row>
    <row r="816" spans="1:10" x14ac:dyDescent="0.3">
      <c r="A816" t="str">
        <f t="shared" si="18"/>
        <v>59039_36</v>
      </c>
      <c r="B816">
        <f>VLOOKUP(C816,[1]lookuptable!$A$1:$C$7,2,0)</f>
        <v>59039</v>
      </c>
      <c r="C816" t="s">
        <v>16</v>
      </c>
      <c r="D816" s="1">
        <v>36</v>
      </c>
      <c r="E816">
        <v>2</v>
      </c>
      <c r="F816">
        <v>156</v>
      </c>
      <c r="G816">
        <v>158</v>
      </c>
      <c r="H816">
        <v>465</v>
      </c>
      <c r="I816" s="2">
        <v>33.978494619999999</v>
      </c>
      <c r="J816" cm="1">
        <f t="array" ref="J816">IF(AND(I816&gt;=0,I816&lt;=20),0,IF(AND(I816&gt;20,I816&lt;=40),1, IF(AND(I816&gt;40,I816&lt;=60),2,IF(AND(I816&gt;60,I816&lt;=80),3, IF(AND(I816&gt;80,I816&lt;=100),4,”5”)))))</f>
        <v>1</v>
      </c>
    </row>
    <row r="817" spans="1:10" x14ac:dyDescent="0.3">
      <c r="A817" t="str">
        <f t="shared" si="18"/>
        <v>59039_37</v>
      </c>
      <c r="B817">
        <f>VLOOKUP(C817,[1]lookuptable!$A$1:$C$7,2,0)</f>
        <v>59039</v>
      </c>
      <c r="C817" t="s">
        <v>16</v>
      </c>
      <c r="D817" s="1">
        <v>37</v>
      </c>
      <c r="E817">
        <v>0</v>
      </c>
      <c r="F817">
        <v>154</v>
      </c>
      <c r="G817">
        <v>154</v>
      </c>
      <c r="H817">
        <v>423</v>
      </c>
      <c r="I817" s="2">
        <v>36.406619390000003</v>
      </c>
      <c r="J817" cm="1">
        <f t="array" ref="J817">IF(AND(I817&gt;=0,I817&lt;=20),0,IF(AND(I817&gt;20,I817&lt;=40),1, IF(AND(I817&gt;40,I817&lt;=60),2,IF(AND(I817&gt;60,I817&lt;=80),3, IF(AND(I817&gt;80,I817&lt;=100),4,”5”)))))</f>
        <v>1</v>
      </c>
    </row>
    <row r="818" spans="1:10" x14ac:dyDescent="0.3">
      <c r="A818" t="str">
        <f t="shared" si="18"/>
        <v>59039_38</v>
      </c>
      <c r="B818">
        <f>VLOOKUP(C818,[1]lookuptable!$A$1:$C$7,2,0)</f>
        <v>59039</v>
      </c>
      <c r="C818" t="s">
        <v>16</v>
      </c>
      <c r="D818" s="1">
        <v>38</v>
      </c>
      <c r="E818">
        <v>0</v>
      </c>
      <c r="F818">
        <v>183</v>
      </c>
      <c r="G818">
        <v>183</v>
      </c>
      <c r="H818">
        <v>502</v>
      </c>
      <c r="I818" s="2">
        <v>36.454183270000001</v>
      </c>
      <c r="J818" cm="1">
        <f t="array" ref="J818">IF(AND(I818&gt;=0,I818&lt;=20),0,IF(AND(I818&gt;20,I818&lt;=40),1, IF(AND(I818&gt;40,I818&lt;=60),2,IF(AND(I818&gt;60,I818&lt;=80),3, IF(AND(I818&gt;80,I818&lt;=100),4,”5”)))))</f>
        <v>1</v>
      </c>
    </row>
    <row r="819" spans="1:10" x14ac:dyDescent="0.3">
      <c r="A819" t="str">
        <f t="shared" si="18"/>
        <v>59039_39</v>
      </c>
      <c r="B819">
        <f>VLOOKUP(C819,[1]lookuptable!$A$1:$C$7,2,0)</f>
        <v>59039</v>
      </c>
      <c r="C819" t="s">
        <v>16</v>
      </c>
      <c r="D819" s="1">
        <v>39</v>
      </c>
      <c r="E819">
        <v>0</v>
      </c>
      <c r="F819">
        <v>168</v>
      </c>
      <c r="G819">
        <v>168</v>
      </c>
      <c r="H819">
        <v>517</v>
      </c>
      <c r="I819" s="2">
        <v>32.495164410000001</v>
      </c>
      <c r="J819" cm="1">
        <f t="array" ref="J819">IF(AND(I819&gt;=0,I819&lt;=20),0,IF(AND(I819&gt;20,I819&lt;=40),1, IF(AND(I819&gt;40,I819&lt;=60),2,IF(AND(I819&gt;60,I819&lt;=80),3, IF(AND(I819&gt;80,I819&lt;=100),4,”5”)))))</f>
        <v>1</v>
      </c>
    </row>
    <row r="820" spans="1:10" x14ac:dyDescent="0.3">
      <c r="A820" t="str">
        <f t="shared" si="18"/>
        <v>59039_40</v>
      </c>
      <c r="B820">
        <f>VLOOKUP(C820,[1]lookuptable!$A$1:$C$7,2,0)</f>
        <v>59039</v>
      </c>
      <c r="C820" t="s">
        <v>16</v>
      </c>
      <c r="D820" s="1">
        <v>40</v>
      </c>
      <c r="E820">
        <v>0</v>
      </c>
      <c r="F820">
        <v>174</v>
      </c>
      <c r="G820">
        <v>174</v>
      </c>
      <c r="H820">
        <v>463</v>
      </c>
      <c r="I820" s="2">
        <v>37.58099352</v>
      </c>
      <c r="J820" cm="1">
        <f t="array" ref="J820">IF(AND(I820&gt;=0,I820&lt;=20),0,IF(AND(I820&gt;20,I820&lt;=40),1, IF(AND(I820&gt;40,I820&lt;=60),2,IF(AND(I820&gt;60,I820&lt;=80),3, IF(AND(I820&gt;80,I820&lt;=100),4,”5”)))))</f>
        <v>1</v>
      </c>
    </row>
    <row r="821" spans="1:10" x14ac:dyDescent="0.3">
      <c r="A821" t="str">
        <f t="shared" si="18"/>
        <v>59039_41</v>
      </c>
      <c r="B821">
        <f>VLOOKUP(C821,[1]lookuptable!$A$1:$C$7,2,0)</f>
        <v>59039</v>
      </c>
      <c r="C821" t="s">
        <v>16</v>
      </c>
      <c r="D821" s="1">
        <v>41</v>
      </c>
      <c r="E821">
        <v>1</v>
      </c>
      <c r="F821">
        <v>159</v>
      </c>
      <c r="G821">
        <v>160</v>
      </c>
      <c r="H821">
        <v>438</v>
      </c>
      <c r="I821" s="2">
        <v>36.529680370000001</v>
      </c>
      <c r="J821" cm="1">
        <f t="array" ref="J821">IF(AND(I821&gt;=0,I821&lt;=20),0,IF(AND(I821&gt;20,I821&lt;=40),1, IF(AND(I821&gt;40,I821&lt;=60),2,IF(AND(I821&gt;60,I821&lt;=80),3, IF(AND(I821&gt;80,I821&lt;=100),4,”5”)))))</f>
        <v>1</v>
      </c>
    </row>
    <row r="822" spans="1:10" x14ac:dyDescent="0.3">
      <c r="A822" t="str">
        <f t="shared" si="18"/>
        <v>59039_42</v>
      </c>
      <c r="B822">
        <f>VLOOKUP(C822,[1]lookuptable!$A$1:$C$7,2,0)</f>
        <v>59039</v>
      </c>
      <c r="C822" t="s">
        <v>16</v>
      </c>
      <c r="D822" s="1">
        <v>42</v>
      </c>
      <c r="E822">
        <v>1</v>
      </c>
      <c r="F822">
        <v>224</v>
      </c>
      <c r="G822">
        <v>225</v>
      </c>
      <c r="H822">
        <v>525</v>
      </c>
      <c r="I822" s="2">
        <v>42.857142860000003</v>
      </c>
      <c r="J822" cm="1">
        <f t="array" ref="J822">IF(AND(I822&gt;=0,I822&lt;=20),0,IF(AND(I822&gt;20,I822&lt;=40),1, IF(AND(I822&gt;40,I822&lt;=60),2,IF(AND(I822&gt;60,I822&lt;=80),3, IF(AND(I822&gt;80,I822&lt;=100),4,”5”)))))</f>
        <v>2</v>
      </c>
    </row>
    <row r="823" spans="1:10" x14ac:dyDescent="0.3">
      <c r="A823" t="str">
        <f t="shared" si="18"/>
        <v>59039_43</v>
      </c>
      <c r="B823">
        <f>VLOOKUP(C823,[1]lookuptable!$A$1:$C$7,2,0)</f>
        <v>59039</v>
      </c>
      <c r="C823" t="s">
        <v>16</v>
      </c>
      <c r="D823" s="1">
        <v>43</v>
      </c>
      <c r="E823">
        <v>1</v>
      </c>
      <c r="F823">
        <v>158</v>
      </c>
      <c r="G823">
        <v>159</v>
      </c>
      <c r="H823">
        <v>506</v>
      </c>
      <c r="I823" s="2">
        <v>31.422924900000002</v>
      </c>
      <c r="J823" cm="1">
        <f t="array" ref="J823">IF(AND(I823&gt;=0,I823&lt;=20),0,IF(AND(I823&gt;20,I823&lt;=40),1, IF(AND(I823&gt;40,I823&lt;=60),2,IF(AND(I823&gt;60,I823&lt;=80),3, IF(AND(I823&gt;80,I823&lt;=100),4,”5”)))))</f>
        <v>1</v>
      </c>
    </row>
    <row r="824" spans="1:10" x14ac:dyDescent="0.3">
      <c r="A824" t="str">
        <f t="shared" si="18"/>
        <v>59039_44</v>
      </c>
      <c r="B824">
        <f>VLOOKUP(C824,[1]lookuptable!$A$1:$C$7,2,0)</f>
        <v>59039</v>
      </c>
      <c r="C824" t="s">
        <v>16</v>
      </c>
      <c r="D824" s="1">
        <v>44</v>
      </c>
      <c r="E824">
        <v>0</v>
      </c>
      <c r="F824">
        <v>178</v>
      </c>
      <c r="G824">
        <v>178</v>
      </c>
      <c r="H824">
        <v>547</v>
      </c>
      <c r="I824" s="2">
        <v>32.541133459999998</v>
      </c>
      <c r="J824" cm="1">
        <f t="array" ref="J824">IF(AND(I824&gt;=0,I824&lt;=20),0,IF(AND(I824&gt;20,I824&lt;=40),1, IF(AND(I824&gt;40,I824&lt;=60),2,IF(AND(I824&gt;60,I824&lt;=80),3, IF(AND(I824&gt;80,I824&lt;=100),4,”5”)))))</f>
        <v>1</v>
      </c>
    </row>
    <row r="825" spans="1:10" x14ac:dyDescent="0.3">
      <c r="A825" t="str">
        <f t="shared" si="18"/>
        <v>59039_45</v>
      </c>
      <c r="B825">
        <f>VLOOKUP(C825,[1]lookuptable!$A$1:$C$7,2,0)</f>
        <v>59039</v>
      </c>
      <c r="C825" t="s">
        <v>16</v>
      </c>
      <c r="D825" s="1">
        <v>45</v>
      </c>
      <c r="E825">
        <v>1</v>
      </c>
      <c r="F825">
        <v>162</v>
      </c>
      <c r="G825">
        <v>163</v>
      </c>
      <c r="H825">
        <v>511</v>
      </c>
      <c r="I825" s="2">
        <v>31.898238750000001</v>
      </c>
      <c r="J825" cm="1">
        <f t="array" ref="J825">IF(AND(I825&gt;=0,I825&lt;=20),0,IF(AND(I825&gt;20,I825&lt;=40),1, IF(AND(I825&gt;40,I825&lt;=60),2,IF(AND(I825&gt;60,I825&lt;=80),3, IF(AND(I825&gt;80,I825&lt;=100),4,”5”)))))</f>
        <v>1</v>
      </c>
    </row>
    <row r="826" spans="1:10" x14ac:dyDescent="0.3">
      <c r="A826" t="str">
        <f t="shared" si="18"/>
        <v>59039_46</v>
      </c>
      <c r="B826">
        <f>VLOOKUP(C826,[1]lookuptable!$A$1:$C$7,2,0)</f>
        <v>59039</v>
      </c>
      <c r="C826" t="s">
        <v>16</v>
      </c>
      <c r="D826" s="1">
        <v>46</v>
      </c>
      <c r="E826">
        <v>2</v>
      </c>
      <c r="F826">
        <v>206</v>
      </c>
      <c r="G826">
        <v>208</v>
      </c>
      <c r="H826">
        <v>548</v>
      </c>
      <c r="I826" s="2">
        <v>37.956204380000003</v>
      </c>
      <c r="J826" cm="1">
        <f t="array" ref="J826">IF(AND(I826&gt;=0,I826&lt;=20),0,IF(AND(I826&gt;20,I826&lt;=40),1, IF(AND(I826&gt;40,I826&lt;=60),2,IF(AND(I826&gt;60,I826&lt;=80),3, IF(AND(I826&gt;80,I826&lt;=100),4,”5”)))))</f>
        <v>1</v>
      </c>
    </row>
    <row r="827" spans="1:10" x14ac:dyDescent="0.3">
      <c r="A827" t="str">
        <f t="shared" si="18"/>
        <v>59039_47</v>
      </c>
      <c r="B827">
        <f>VLOOKUP(C827,[1]lookuptable!$A$1:$C$7,2,0)</f>
        <v>59039</v>
      </c>
      <c r="C827" t="s">
        <v>16</v>
      </c>
      <c r="D827" s="1">
        <v>47</v>
      </c>
      <c r="E827">
        <v>0</v>
      </c>
      <c r="F827">
        <v>255</v>
      </c>
      <c r="G827">
        <v>255</v>
      </c>
      <c r="H827">
        <v>560</v>
      </c>
      <c r="I827" s="2">
        <v>45.535714290000001</v>
      </c>
      <c r="J827" cm="1">
        <f t="array" ref="J827">IF(AND(I827&gt;=0,I827&lt;=20),0,IF(AND(I827&gt;20,I827&lt;=40),1, IF(AND(I827&gt;40,I827&lt;=60),2,IF(AND(I827&gt;60,I827&lt;=80),3, IF(AND(I827&gt;80,I827&lt;=100),4,”5”)))))</f>
        <v>2</v>
      </c>
    </row>
    <row r="828" spans="1:10" x14ac:dyDescent="0.3">
      <c r="A828" t="str">
        <f t="shared" si="18"/>
        <v>59039_48</v>
      </c>
      <c r="B828">
        <f>VLOOKUP(C828,[1]lookuptable!$A$1:$C$7,2,0)</f>
        <v>59039</v>
      </c>
      <c r="C828" t="s">
        <v>16</v>
      </c>
      <c r="D828" s="1">
        <v>48</v>
      </c>
      <c r="E828">
        <v>0</v>
      </c>
      <c r="F828">
        <v>168</v>
      </c>
      <c r="G828">
        <v>168</v>
      </c>
      <c r="H828">
        <v>547</v>
      </c>
      <c r="I828" s="2">
        <v>30.71297989</v>
      </c>
      <c r="J828" cm="1">
        <f t="array" ref="J828">IF(AND(I828&gt;=0,I828&lt;=20),0,IF(AND(I828&gt;20,I828&lt;=40),1, IF(AND(I828&gt;40,I828&lt;=60),2,IF(AND(I828&gt;60,I828&lt;=80),3, IF(AND(I828&gt;80,I828&lt;=100),4,”5”)))))</f>
        <v>1</v>
      </c>
    </row>
    <row r="829" spans="1:10" x14ac:dyDescent="0.3">
      <c r="A829" t="str">
        <f t="shared" si="18"/>
        <v>59039_49</v>
      </c>
      <c r="B829">
        <f>VLOOKUP(C829,[1]lookuptable!$A$1:$C$7,2,0)</f>
        <v>59039</v>
      </c>
      <c r="C829" t="s">
        <v>16</v>
      </c>
      <c r="D829" s="1">
        <v>49</v>
      </c>
      <c r="E829">
        <v>1</v>
      </c>
      <c r="F829">
        <v>81</v>
      </c>
      <c r="G829">
        <v>82</v>
      </c>
      <c r="H829">
        <v>337</v>
      </c>
      <c r="I829" s="2">
        <v>24.332344209999999</v>
      </c>
      <c r="J829" cm="1">
        <f t="array" ref="J829">IF(AND(I829&gt;=0,I829&lt;=20),0,IF(AND(I829&gt;20,I829&lt;=40),1, IF(AND(I829&gt;40,I829&lt;=60),2,IF(AND(I829&gt;60,I829&lt;=80),3, IF(AND(I829&gt;80,I829&lt;=100),4,”5”)))))</f>
        <v>1</v>
      </c>
    </row>
    <row r="830" spans="1:10" x14ac:dyDescent="0.3">
      <c r="A830" t="str">
        <f t="shared" si="18"/>
        <v>59039_51</v>
      </c>
      <c r="B830">
        <f>VLOOKUP(C830,[1]lookuptable!$A$1:$C$7,2,0)</f>
        <v>59039</v>
      </c>
      <c r="C830" t="s">
        <v>16</v>
      </c>
      <c r="D830" s="1">
        <v>51</v>
      </c>
      <c r="E830">
        <v>0</v>
      </c>
      <c r="F830">
        <v>81</v>
      </c>
      <c r="G830">
        <v>81</v>
      </c>
      <c r="H830">
        <v>364</v>
      </c>
      <c r="I830" s="2">
        <v>22.252747249999999</v>
      </c>
      <c r="J830" cm="1">
        <f t="array" ref="J830">IF(AND(I830&gt;=0,I830&lt;=20),0,IF(AND(I830&gt;20,I830&lt;=40),1, IF(AND(I830&gt;40,I830&lt;=60),2,IF(AND(I830&gt;60,I830&lt;=80),3, IF(AND(I830&gt;80,I830&lt;=100),4,”5”)))))</f>
        <v>1</v>
      </c>
    </row>
    <row r="831" spans="1:10" x14ac:dyDescent="0.3">
      <c r="A831" t="str">
        <f t="shared" si="18"/>
        <v>59039_52</v>
      </c>
      <c r="B831">
        <f>VLOOKUP(C831,[1]lookuptable!$A$1:$C$7,2,0)</f>
        <v>59039</v>
      </c>
      <c r="C831" t="s">
        <v>16</v>
      </c>
      <c r="D831" s="1">
        <v>52</v>
      </c>
      <c r="E831">
        <v>0</v>
      </c>
      <c r="F831">
        <v>158</v>
      </c>
      <c r="G831">
        <v>158</v>
      </c>
      <c r="H831">
        <v>743</v>
      </c>
      <c r="I831" s="2">
        <v>21.265141320000001</v>
      </c>
      <c r="J831" cm="1">
        <f t="array" ref="J831">IF(AND(I831&gt;=0,I831&lt;=20),0,IF(AND(I831&gt;20,I831&lt;=40),1, IF(AND(I831&gt;40,I831&lt;=60),2,IF(AND(I831&gt;60,I831&lt;=80),3, IF(AND(I831&gt;80,I831&lt;=100),4,”5”)))))</f>
        <v>1</v>
      </c>
    </row>
    <row r="832" spans="1:10" x14ac:dyDescent="0.3">
      <c r="A832" t="str">
        <f t="shared" si="18"/>
        <v>59039_ 53A</v>
      </c>
      <c r="B832">
        <f>VLOOKUP(C832,[1]lookuptable!$A$1:$C$7,2,0)</f>
        <v>59039</v>
      </c>
      <c r="C832" t="s">
        <v>16</v>
      </c>
      <c r="D832" s="1" t="s">
        <v>18</v>
      </c>
      <c r="E832">
        <v>0</v>
      </c>
      <c r="F832">
        <v>93</v>
      </c>
      <c r="G832">
        <v>93</v>
      </c>
      <c r="H832">
        <v>417</v>
      </c>
      <c r="I832" s="2">
        <v>22.30215827</v>
      </c>
      <c r="J832" cm="1">
        <f t="array" ref="J832">IF(AND(I832&gt;=0,I832&lt;=20),0,IF(AND(I832&gt;20,I832&lt;=40),1, IF(AND(I832&gt;40,I832&lt;=60),2,IF(AND(I832&gt;60,I832&lt;=80),3, IF(AND(I832&gt;80,I832&lt;=100),4,”5”)))))</f>
        <v>1</v>
      </c>
    </row>
    <row r="833" spans="1:10" x14ac:dyDescent="0.3">
      <c r="A833" t="str">
        <f t="shared" si="18"/>
        <v>59039_54</v>
      </c>
      <c r="B833">
        <f>VLOOKUP(C833,[1]lookuptable!$A$1:$C$7,2,0)</f>
        <v>59039</v>
      </c>
      <c r="C833" t="s">
        <v>16</v>
      </c>
      <c r="D833" s="1">
        <v>54</v>
      </c>
      <c r="E833">
        <v>0</v>
      </c>
      <c r="F833">
        <v>199</v>
      </c>
      <c r="G833">
        <v>199</v>
      </c>
      <c r="H833">
        <v>727</v>
      </c>
      <c r="I833" s="2">
        <v>27.372764790000002</v>
      </c>
      <c r="J833" cm="1">
        <f t="array" ref="J833">IF(AND(I833&gt;=0,I833&lt;=20),0,IF(AND(I833&gt;20,I833&lt;=40),1, IF(AND(I833&gt;40,I833&lt;=60),2,IF(AND(I833&gt;60,I833&lt;=80),3, IF(AND(I833&gt;80,I833&lt;=100),4,”5”)))))</f>
        <v>1</v>
      </c>
    </row>
    <row r="834" spans="1:10" x14ac:dyDescent="0.3">
      <c r="A834" t="str">
        <f t="shared" ref="A834:A897" si="19">CONCATENATE(B834,"_",D834)</f>
        <v>59039_55</v>
      </c>
      <c r="B834">
        <f>VLOOKUP(C834,[1]lookuptable!$A$1:$C$7,2,0)</f>
        <v>59039</v>
      </c>
      <c r="C834" t="s">
        <v>16</v>
      </c>
      <c r="D834" s="1">
        <v>55</v>
      </c>
      <c r="E834">
        <v>1</v>
      </c>
      <c r="F834">
        <v>300</v>
      </c>
      <c r="G834">
        <v>301</v>
      </c>
      <c r="H834">
        <v>938</v>
      </c>
      <c r="I834" s="2">
        <v>32.089552240000003</v>
      </c>
      <c r="J834" cm="1">
        <f t="array" ref="J834">IF(AND(I834&gt;=0,I834&lt;=20),0,IF(AND(I834&gt;20,I834&lt;=40),1, IF(AND(I834&gt;40,I834&lt;=60),2,IF(AND(I834&gt;60,I834&lt;=80),3, IF(AND(I834&gt;80,I834&lt;=100),4,”5”)))))</f>
        <v>1</v>
      </c>
    </row>
    <row r="835" spans="1:10" x14ac:dyDescent="0.3">
      <c r="A835" t="str">
        <f t="shared" si="19"/>
        <v>59039_56</v>
      </c>
      <c r="B835">
        <f>VLOOKUP(C835,[1]lookuptable!$A$1:$C$7,2,0)</f>
        <v>59039</v>
      </c>
      <c r="C835" t="s">
        <v>16</v>
      </c>
      <c r="D835" s="1">
        <v>56</v>
      </c>
      <c r="E835">
        <v>0</v>
      </c>
      <c r="F835">
        <v>162</v>
      </c>
      <c r="G835">
        <v>162</v>
      </c>
      <c r="H835">
        <v>425</v>
      </c>
      <c r="I835" s="2">
        <v>38.117647060000003</v>
      </c>
      <c r="J835" cm="1">
        <f t="array" ref="J835">IF(AND(I835&gt;=0,I835&lt;=20),0,IF(AND(I835&gt;20,I835&lt;=40),1, IF(AND(I835&gt;40,I835&lt;=60),2,IF(AND(I835&gt;60,I835&lt;=80),3, IF(AND(I835&gt;80,I835&lt;=100),4,”5”)))))</f>
        <v>1</v>
      </c>
    </row>
    <row r="836" spans="1:10" x14ac:dyDescent="0.3">
      <c r="A836" t="str">
        <f t="shared" si="19"/>
        <v>59039_57</v>
      </c>
      <c r="B836">
        <f>VLOOKUP(C836,[1]lookuptable!$A$1:$C$7,2,0)</f>
        <v>59039</v>
      </c>
      <c r="C836" t="s">
        <v>16</v>
      </c>
      <c r="D836" s="1">
        <v>57</v>
      </c>
      <c r="E836">
        <v>1</v>
      </c>
      <c r="F836">
        <v>163</v>
      </c>
      <c r="G836">
        <v>164</v>
      </c>
      <c r="H836">
        <v>561</v>
      </c>
      <c r="I836" s="2">
        <v>29.233511589999999</v>
      </c>
      <c r="J836" cm="1">
        <f t="array" ref="J836">IF(AND(I836&gt;=0,I836&lt;=20),0,IF(AND(I836&gt;20,I836&lt;=40),1, IF(AND(I836&gt;40,I836&lt;=60),2,IF(AND(I836&gt;60,I836&lt;=80),3, IF(AND(I836&gt;80,I836&lt;=100),4,”5”)))))</f>
        <v>1</v>
      </c>
    </row>
    <row r="837" spans="1:10" x14ac:dyDescent="0.3">
      <c r="A837" t="str">
        <f t="shared" si="19"/>
        <v>59039_58</v>
      </c>
      <c r="B837">
        <f>VLOOKUP(C837,[1]lookuptable!$A$1:$C$7,2,0)</f>
        <v>59039</v>
      </c>
      <c r="C837" t="s">
        <v>16</v>
      </c>
      <c r="D837" s="1">
        <v>58</v>
      </c>
      <c r="E837">
        <v>1</v>
      </c>
      <c r="F837">
        <v>169</v>
      </c>
      <c r="G837">
        <v>170</v>
      </c>
      <c r="H837">
        <v>586</v>
      </c>
      <c r="I837" s="2">
        <v>29.010238910000002</v>
      </c>
      <c r="J837" cm="1">
        <f t="array" ref="J837">IF(AND(I837&gt;=0,I837&lt;=20),0,IF(AND(I837&gt;20,I837&lt;=40),1, IF(AND(I837&gt;40,I837&lt;=60),2,IF(AND(I837&gt;60,I837&lt;=80),3, IF(AND(I837&gt;80,I837&lt;=100),4,”5”)))))</f>
        <v>1</v>
      </c>
    </row>
    <row r="838" spans="1:10" x14ac:dyDescent="0.3">
      <c r="A838" t="str">
        <f t="shared" si="19"/>
        <v>59039_59</v>
      </c>
      <c r="B838">
        <f>VLOOKUP(C838,[1]lookuptable!$A$1:$C$7,2,0)</f>
        <v>59039</v>
      </c>
      <c r="C838" t="s">
        <v>16</v>
      </c>
      <c r="D838" s="1">
        <v>59</v>
      </c>
      <c r="E838">
        <v>0</v>
      </c>
      <c r="F838">
        <v>177</v>
      </c>
      <c r="G838">
        <v>177</v>
      </c>
      <c r="H838">
        <v>587</v>
      </c>
      <c r="I838" s="2">
        <v>30.153321980000001</v>
      </c>
      <c r="J838" cm="1">
        <f t="array" ref="J838">IF(AND(I838&gt;=0,I838&lt;=20),0,IF(AND(I838&gt;20,I838&lt;=40),1, IF(AND(I838&gt;40,I838&lt;=60),2,IF(AND(I838&gt;60,I838&lt;=80),3, IF(AND(I838&gt;80,I838&lt;=100),4,”5”)))))</f>
        <v>1</v>
      </c>
    </row>
    <row r="839" spans="1:10" x14ac:dyDescent="0.3">
      <c r="A839" t="str">
        <f t="shared" si="19"/>
        <v>59039_60</v>
      </c>
      <c r="B839">
        <f>VLOOKUP(C839,[1]lookuptable!$A$1:$C$7,2,0)</f>
        <v>59039</v>
      </c>
      <c r="C839" t="s">
        <v>16</v>
      </c>
      <c r="D839" s="1">
        <v>60</v>
      </c>
      <c r="E839">
        <v>2</v>
      </c>
      <c r="F839">
        <v>179</v>
      </c>
      <c r="G839">
        <v>181</v>
      </c>
      <c r="H839">
        <v>459</v>
      </c>
      <c r="I839" s="2">
        <v>39.433551199999997</v>
      </c>
      <c r="J839" cm="1">
        <f t="array" ref="J839">IF(AND(I839&gt;=0,I839&lt;=20),0,IF(AND(I839&gt;20,I839&lt;=40),1, IF(AND(I839&gt;40,I839&lt;=60),2,IF(AND(I839&gt;60,I839&lt;=80),3, IF(AND(I839&gt;80,I839&lt;=100),4,”5”)))))</f>
        <v>1</v>
      </c>
    </row>
    <row r="840" spans="1:10" x14ac:dyDescent="0.3">
      <c r="A840" t="str">
        <f t="shared" si="19"/>
        <v>59039_61</v>
      </c>
      <c r="B840">
        <f>VLOOKUP(C840,[1]lookuptable!$A$1:$C$7,2,0)</f>
        <v>59039</v>
      </c>
      <c r="C840" t="s">
        <v>16</v>
      </c>
      <c r="D840" s="1">
        <v>61</v>
      </c>
      <c r="E840">
        <v>0</v>
      </c>
      <c r="F840">
        <v>158</v>
      </c>
      <c r="G840">
        <v>158</v>
      </c>
      <c r="H840">
        <v>515</v>
      </c>
      <c r="I840" s="2">
        <v>30.679611649999998</v>
      </c>
      <c r="J840" cm="1">
        <f t="array" ref="J840">IF(AND(I840&gt;=0,I840&lt;=20),0,IF(AND(I840&gt;20,I840&lt;=40),1, IF(AND(I840&gt;40,I840&lt;=60),2,IF(AND(I840&gt;60,I840&lt;=80),3, IF(AND(I840&gt;80,I840&lt;=100),4,”5”)))))</f>
        <v>1</v>
      </c>
    </row>
    <row r="841" spans="1:10" x14ac:dyDescent="0.3">
      <c r="A841" t="str">
        <f t="shared" si="19"/>
        <v>59039_62</v>
      </c>
      <c r="B841">
        <f>VLOOKUP(C841,[1]lookuptable!$A$1:$C$7,2,0)</f>
        <v>59039</v>
      </c>
      <c r="C841" t="s">
        <v>16</v>
      </c>
      <c r="D841" s="1">
        <v>62</v>
      </c>
      <c r="E841">
        <v>0</v>
      </c>
      <c r="F841">
        <v>173</v>
      </c>
      <c r="G841">
        <v>173</v>
      </c>
      <c r="H841">
        <v>539</v>
      </c>
      <c r="I841" s="2">
        <v>32.096474950000001</v>
      </c>
      <c r="J841" cm="1">
        <f t="array" ref="J841">IF(AND(I841&gt;=0,I841&lt;=20),0,IF(AND(I841&gt;20,I841&lt;=40),1, IF(AND(I841&gt;40,I841&lt;=60),2,IF(AND(I841&gt;60,I841&lt;=80),3, IF(AND(I841&gt;80,I841&lt;=100),4,”5”)))))</f>
        <v>1</v>
      </c>
    </row>
    <row r="842" spans="1:10" x14ac:dyDescent="0.3">
      <c r="A842" t="str">
        <f t="shared" si="19"/>
        <v>59039_63</v>
      </c>
      <c r="B842">
        <f>VLOOKUP(C842,[1]lookuptable!$A$1:$C$7,2,0)</f>
        <v>59039</v>
      </c>
      <c r="C842" t="s">
        <v>16</v>
      </c>
      <c r="D842" s="1">
        <v>63</v>
      </c>
      <c r="E842">
        <v>0</v>
      </c>
      <c r="F842">
        <v>175</v>
      </c>
      <c r="G842">
        <v>175</v>
      </c>
      <c r="H842">
        <v>524</v>
      </c>
      <c r="I842" s="2">
        <v>33.396946560000004</v>
      </c>
      <c r="J842" cm="1">
        <f t="array" ref="J842">IF(AND(I842&gt;=0,I842&lt;=20),0,IF(AND(I842&gt;20,I842&lt;=40),1, IF(AND(I842&gt;40,I842&lt;=60),2,IF(AND(I842&gt;60,I842&lt;=80),3, IF(AND(I842&gt;80,I842&lt;=100),4,”5”)))))</f>
        <v>1</v>
      </c>
    </row>
    <row r="843" spans="1:10" x14ac:dyDescent="0.3">
      <c r="A843" t="str">
        <f t="shared" si="19"/>
        <v>59039_64</v>
      </c>
      <c r="B843">
        <f>VLOOKUP(C843,[1]lookuptable!$A$1:$C$7,2,0)</f>
        <v>59039</v>
      </c>
      <c r="C843" t="s">
        <v>16</v>
      </c>
      <c r="D843" s="1">
        <v>64</v>
      </c>
      <c r="E843">
        <v>0</v>
      </c>
      <c r="F843">
        <v>211</v>
      </c>
      <c r="G843">
        <v>211</v>
      </c>
      <c r="H843">
        <v>559</v>
      </c>
      <c r="I843" s="2">
        <v>37.745974959999998</v>
      </c>
      <c r="J843" cm="1">
        <f t="array" ref="J843">IF(AND(I843&gt;=0,I843&lt;=20),0,IF(AND(I843&gt;20,I843&lt;=40),1, IF(AND(I843&gt;40,I843&lt;=60),2,IF(AND(I843&gt;60,I843&lt;=80),3, IF(AND(I843&gt;80,I843&lt;=100),4,”5”)))))</f>
        <v>1</v>
      </c>
    </row>
    <row r="844" spans="1:10" x14ac:dyDescent="0.3">
      <c r="A844" t="str">
        <f t="shared" si="19"/>
        <v>59039_65</v>
      </c>
      <c r="B844">
        <f>VLOOKUP(C844,[1]lookuptable!$A$1:$C$7,2,0)</f>
        <v>59039</v>
      </c>
      <c r="C844" t="s">
        <v>16</v>
      </c>
      <c r="D844" s="1">
        <v>65</v>
      </c>
      <c r="E844">
        <v>0</v>
      </c>
      <c r="F844">
        <v>182</v>
      </c>
      <c r="G844">
        <v>182</v>
      </c>
      <c r="H844">
        <v>556</v>
      </c>
      <c r="I844" s="2">
        <v>32.733812950000001</v>
      </c>
      <c r="J844" cm="1">
        <f t="array" ref="J844">IF(AND(I844&gt;=0,I844&lt;=20),0,IF(AND(I844&gt;20,I844&lt;=40),1, IF(AND(I844&gt;40,I844&lt;=60),2,IF(AND(I844&gt;60,I844&lt;=80),3, IF(AND(I844&gt;80,I844&lt;=100),4,”5”)))))</f>
        <v>1</v>
      </c>
    </row>
    <row r="845" spans="1:10" x14ac:dyDescent="0.3">
      <c r="A845" t="str">
        <f t="shared" si="19"/>
        <v>59039_66</v>
      </c>
      <c r="B845">
        <f>VLOOKUP(C845,[1]lookuptable!$A$1:$C$7,2,0)</f>
        <v>59039</v>
      </c>
      <c r="C845" t="s">
        <v>16</v>
      </c>
      <c r="D845" s="1">
        <v>66</v>
      </c>
      <c r="E845">
        <v>0</v>
      </c>
      <c r="F845">
        <v>209</v>
      </c>
      <c r="G845">
        <v>209</v>
      </c>
      <c r="H845">
        <v>622</v>
      </c>
      <c r="I845" s="2">
        <v>33.601286170000002</v>
      </c>
      <c r="J845" cm="1">
        <f t="array" ref="J845">IF(AND(I845&gt;=0,I845&lt;=20),0,IF(AND(I845&gt;20,I845&lt;=40),1, IF(AND(I845&gt;40,I845&lt;=60),2,IF(AND(I845&gt;60,I845&lt;=80),3, IF(AND(I845&gt;80,I845&lt;=100),4,”5”)))))</f>
        <v>1</v>
      </c>
    </row>
    <row r="846" spans="1:10" x14ac:dyDescent="0.3">
      <c r="A846" t="str">
        <f t="shared" si="19"/>
        <v>59039_67</v>
      </c>
      <c r="B846">
        <f>VLOOKUP(C846,[1]lookuptable!$A$1:$C$7,2,0)</f>
        <v>59039</v>
      </c>
      <c r="C846" t="s">
        <v>16</v>
      </c>
      <c r="D846" s="1">
        <v>67</v>
      </c>
      <c r="E846">
        <v>0</v>
      </c>
      <c r="F846">
        <v>168</v>
      </c>
      <c r="G846">
        <v>168</v>
      </c>
      <c r="H846">
        <v>466</v>
      </c>
      <c r="I846" s="2">
        <v>36.051502149999997</v>
      </c>
      <c r="J846" cm="1">
        <f t="array" ref="J846">IF(AND(I846&gt;=0,I846&lt;=20),0,IF(AND(I846&gt;20,I846&lt;=40),1, IF(AND(I846&gt;40,I846&lt;=60),2,IF(AND(I846&gt;60,I846&lt;=80),3, IF(AND(I846&gt;80,I846&lt;=100),4,”5”)))))</f>
        <v>1</v>
      </c>
    </row>
    <row r="847" spans="1:10" x14ac:dyDescent="0.3">
      <c r="A847" t="str">
        <f t="shared" si="19"/>
        <v>59039_68</v>
      </c>
      <c r="B847">
        <f>VLOOKUP(C847,[1]lookuptable!$A$1:$C$7,2,0)</f>
        <v>59039</v>
      </c>
      <c r="C847" t="s">
        <v>16</v>
      </c>
      <c r="D847" s="1">
        <v>68</v>
      </c>
      <c r="E847">
        <v>0</v>
      </c>
      <c r="F847">
        <v>173</v>
      </c>
      <c r="G847">
        <v>173</v>
      </c>
      <c r="H847">
        <v>440</v>
      </c>
      <c r="I847" s="2">
        <v>39.31818182</v>
      </c>
      <c r="J847" cm="1">
        <f t="array" ref="J847">IF(AND(I847&gt;=0,I847&lt;=20),0,IF(AND(I847&gt;20,I847&lt;=40),1, IF(AND(I847&gt;40,I847&lt;=60),2,IF(AND(I847&gt;60,I847&lt;=80),3, IF(AND(I847&gt;80,I847&lt;=100),4,”5”)))))</f>
        <v>1</v>
      </c>
    </row>
    <row r="848" spans="1:10" x14ac:dyDescent="0.3">
      <c r="A848" t="str">
        <f t="shared" si="19"/>
        <v>59039_69</v>
      </c>
      <c r="B848">
        <f>VLOOKUP(C848,[1]lookuptable!$A$1:$C$7,2,0)</f>
        <v>59039</v>
      </c>
      <c r="C848" t="s">
        <v>16</v>
      </c>
      <c r="D848" s="1">
        <v>69</v>
      </c>
      <c r="E848">
        <v>1</v>
      </c>
      <c r="F848">
        <v>151</v>
      </c>
      <c r="G848">
        <v>152</v>
      </c>
      <c r="H848">
        <v>415</v>
      </c>
      <c r="I848" s="2">
        <v>36.626506020000001</v>
      </c>
      <c r="J848" cm="1">
        <f t="array" ref="J848">IF(AND(I848&gt;=0,I848&lt;=20),0,IF(AND(I848&gt;20,I848&lt;=40),1, IF(AND(I848&gt;40,I848&lt;=60),2,IF(AND(I848&gt;60,I848&lt;=80),3, IF(AND(I848&gt;80,I848&lt;=100),4,”5”)))))</f>
        <v>1</v>
      </c>
    </row>
    <row r="849" spans="1:10" x14ac:dyDescent="0.3">
      <c r="A849" t="str">
        <f t="shared" si="19"/>
        <v>59039_70</v>
      </c>
      <c r="B849">
        <f>VLOOKUP(C849,[1]lookuptable!$A$1:$C$7,2,0)</f>
        <v>59039</v>
      </c>
      <c r="C849" t="s">
        <v>16</v>
      </c>
      <c r="D849" s="1">
        <v>70</v>
      </c>
      <c r="E849">
        <v>0</v>
      </c>
      <c r="F849">
        <v>162</v>
      </c>
      <c r="G849">
        <v>162</v>
      </c>
      <c r="H849">
        <v>476</v>
      </c>
      <c r="I849" s="2">
        <v>34.033613449999997</v>
      </c>
      <c r="J849" cm="1">
        <f t="array" ref="J849">IF(AND(I849&gt;=0,I849&lt;=20),0,IF(AND(I849&gt;20,I849&lt;=40),1, IF(AND(I849&gt;40,I849&lt;=60),2,IF(AND(I849&gt;60,I849&lt;=80),3, IF(AND(I849&gt;80,I849&lt;=100),4,”5”)))))</f>
        <v>1</v>
      </c>
    </row>
    <row r="850" spans="1:10" x14ac:dyDescent="0.3">
      <c r="A850" t="str">
        <f t="shared" si="19"/>
        <v>59039_71</v>
      </c>
      <c r="B850">
        <f>VLOOKUP(C850,[1]lookuptable!$A$1:$C$7,2,0)</f>
        <v>59039</v>
      </c>
      <c r="C850" t="s">
        <v>16</v>
      </c>
      <c r="D850" s="1">
        <v>71</v>
      </c>
      <c r="E850">
        <v>0</v>
      </c>
      <c r="F850">
        <v>153</v>
      </c>
      <c r="G850">
        <v>153</v>
      </c>
      <c r="H850">
        <v>504</v>
      </c>
      <c r="I850" s="2">
        <v>30.35714286</v>
      </c>
      <c r="J850" cm="1">
        <f t="array" ref="J850">IF(AND(I850&gt;=0,I850&lt;=20),0,IF(AND(I850&gt;20,I850&lt;=40),1, IF(AND(I850&gt;40,I850&lt;=60),2,IF(AND(I850&gt;60,I850&lt;=80),3, IF(AND(I850&gt;80,I850&lt;=100),4,”5”)))))</f>
        <v>1</v>
      </c>
    </row>
    <row r="851" spans="1:10" x14ac:dyDescent="0.3">
      <c r="A851" t="str">
        <f t="shared" si="19"/>
        <v>59039_72</v>
      </c>
      <c r="B851">
        <f>VLOOKUP(C851,[1]lookuptable!$A$1:$C$7,2,0)</f>
        <v>59039</v>
      </c>
      <c r="C851" t="s">
        <v>16</v>
      </c>
      <c r="D851" s="1">
        <v>72</v>
      </c>
      <c r="E851">
        <v>1</v>
      </c>
      <c r="F851">
        <v>178</v>
      </c>
      <c r="G851">
        <v>179</v>
      </c>
      <c r="H851">
        <v>518</v>
      </c>
      <c r="I851" s="2">
        <v>34.555984559999999</v>
      </c>
      <c r="J851" cm="1">
        <f t="array" ref="J851">IF(AND(I851&gt;=0,I851&lt;=20),0,IF(AND(I851&gt;20,I851&lt;=40),1, IF(AND(I851&gt;40,I851&lt;=60),2,IF(AND(I851&gt;60,I851&lt;=80),3, IF(AND(I851&gt;80,I851&lt;=100),4,”5”)))))</f>
        <v>1</v>
      </c>
    </row>
    <row r="852" spans="1:10" x14ac:dyDescent="0.3">
      <c r="A852" t="str">
        <f t="shared" si="19"/>
        <v>59039_73</v>
      </c>
      <c r="B852">
        <f>VLOOKUP(C852,[1]lookuptable!$A$1:$C$7,2,0)</f>
        <v>59039</v>
      </c>
      <c r="C852" t="s">
        <v>16</v>
      </c>
      <c r="D852" s="1">
        <v>73</v>
      </c>
      <c r="E852">
        <v>0</v>
      </c>
      <c r="F852">
        <v>141</v>
      </c>
      <c r="G852">
        <v>141</v>
      </c>
      <c r="H852">
        <v>431</v>
      </c>
      <c r="I852" s="2">
        <v>32.714617169999997</v>
      </c>
      <c r="J852" cm="1">
        <f t="array" ref="J852">IF(AND(I852&gt;=0,I852&lt;=20),0,IF(AND(I852&gt;20,I852&lt;=40),1, IF(AND(I852&gt;40,I852&lt;=60),2,IF(AND(I852&gt;60,I852&lt;=80),3, IF(AND(I852&gt;80,I852&lt;=100),4,”5”)))))</f>
        <v>1</v>
      </c>
    </row>
    <row r="853" spans="1:10" x14ac:dyDescent="0.3">
      <c r="A853" t="str">
        <f t="shared" si="19"/>
        <v>59039_74</v>
      </c>
      <c r="B853">
        <f>VLOOKUP(C853,[1]lookuptable!$A$1:$C$7,2,0)</f>
        <v>59039</v>
      </c>
      <c r="C853" t="s">
        <v>16</v>
      </c>
      <c r="D853" s="1">
        <v>74</v>
      </c>
      <c r="E853">
        <v>0</v>
      </c>
      <c r="F853">
        <v>145</v>
      </c>
      <c r="G853">
        <v>145</v>
      </c>
      <c r="H853">
        <v>440</v>
      </c>
      <c r="I853" s="2">
        <v>32.954545449999998</v>
      </c>
      <c r="J853" cm="1">
        <f t="array" ref="J853">IF(AND(I853&gt;=0,I853&lt;=20),0,IF(AND(I853&gt;20,I853&lt;=40),1, IF(AND(I853&gt;40,I853&lt;=60),2,IF(AND(I853&gt;60,I853&lt;=80),3, IF(AND(I853&gt;80,I853&lt;=100),4,”5”)))))</f>
        <v>1</v>
      </c>
    </row>
    <row r="854" spans="1:10" x14ac:dyDescent="0.3">
      <c r="A854" t="str">
        <f t="shared" si="19"/>
        <v>59039_75</v>
      </c>
      <c r="B854">
        <f>VLOOKUP(C854,[1]lookuptable!$A$1:$C$7,2,0)</f>
        <v>59039</v>
      </c>
      <c r="C854" t="s">
        <v>16</v>
      </c>
      <c r="D854" s="1">
        <v>75</v>
      </c>
      <c r="E854">
        <v>1</v>
      </c>
      <c r="F854">
        <v>156</v>
      </c>
      <c r="G854">
        <v>157</v>
      </c>
      <c r="H854">
        <v>471</v>
      </c>
      <c r="I854" s="2">
        <v>33.333333330000002</v>
      </c>
      <c r="J854" cm="1">
        <f t="array" ref="J854">IF(AND(I854&gt;=0,I854&lt;=20),0,IF(AND(I854&gt;20,I854&lt;=40),1, IF(AND(I854&gt;40,I854&lt;=60),2,IF(AND(I854&gt;60,I854&lt;=80),3, IF(AND(I854&gt;80,I854&lt;=100),4,”5”)))))</f>
        <v>1</v>
      </c>
    </row>
    <row r="855" spans="1:10" x14ac:dyDescent="0.3">
      <c r="A855" t="str">
        <f t="shared" si="19"/>
        <v>59039_76</v>
      </c>
      <c r="B855">
        <f>VLOOKUP(C855,[1]lookuptable!$A$1:$C$7,2,0)</f>
        <v>59039</v>
      </c>
      <c r="C855" t="s">
        <v>16</v>
      </c>
      <c r="D855" s="1">
        <v>76</v>
      </c>
      <c r="E855">
        <v>0</v>
      </c>
      <c r="F855">
        <v>158</v>
      </c>
      <c r="G855">
        <v>158</v>
      </c>
      <c r="H855">
        <v>485</v>
      </c>
      <c r="I855" s="2">
        <v>32.577319590000002</v>
      </c>
      <c r="J855" cm="1">
        <f t="array" ref="J855">IF(AND(I855&gt;=0,I855&lt;=20),0,IF(AND(I855&gt;20,I855&lt;=40),1, IF(AND(I855&gt;40,I855&lt;=60),2,IF(AND(I855&gt;60,I855&lt;=80),3, IF(AND(I855&gt;80,I855&lt;=100),4,”5”)))))</f>
        <v>1</v>
      </c>
    </row>
    <row r="856" spans="1:10" x14ac:dyDescent="0.3">
      <c r="A856" t="str">
        <f t="shared" si="19"/>
        <v>59039_77</v>
      </c>
      <c r="B856">
        <f>VLOOKUP(C856,[1]lookuptable!$A$1:$C$7,2,0)</f>
        <v>59039</v>
      </c>
      <c r="C856" t="s">
        <v>16</v>
      </c>
      <c r="D856" s="1">
        <v>77</v>
      </c>
      <c r="E856">
        <v>0</v>
      </c>
      <c r="F856">
        <v>174</v>
      </c>
      <c r="G856">
        <v>174</v>
      </c>
      <c r="H856">
        <v>547</v>
      </c>
      <c r="I856" s="2">
        <v>31.809872030000001</v>
      </c>
      <c r="J856" cm="1">
        <f t="array" ref="J856">IF(AND(I856&gt;=0,I856&lt;=20),0,IF(AND(I856&gt;20,I856&lt;=40),1, IF(AND(I856&gt;40,I856&lt;=60),2,IF(AND(I856&gt;60,I856&lt;=80),3, IF(AND(I856&gt;80,I856&lt;=100),4,”5”)))))</f>
        <v>1</v>
      </c>
    </row>
    <row r="857" spans="1:10" x14ac:dyDescent="0.3">
      <c r="A857" t="str">
        <f t="shared" si="19"/>
        <v>59039_78</v>
      </c>
      <c r="B857">
        <f>VLOOKUP(C857,[1]lookuptable!$A$1:$C$7,2,0)</f>
        <v>59039</v>
      </c>
      <c r="C857" t="s">
        <v>16</v>
      </c>
      <c r="D857" s="1">
        <v>78</v>
      </c>
      <c r="E857">
        <v>1</v>
      </c>
      <c r="F857">
        <v>164</v>
      </c>
      <c r="G857">
        <v>165</v>
      </c>
      <c r="H857">
        <v>563</v>
      </c>
      <c r="I857" s="2">
        <v>29.30728242</v>
      </c>
      <c r="J857" cm="1">
        <f t="array" ref="J857">IF(AND(I857&gt;=0,I857&lt;=20),0,IF(AND(I857&gt;20,I857&lt;=40),1, IF(AND(I857&gt;40,I857&lt;=60),2,IF(AND(I857&gt;60,I857&lt;=80),3, IF(AND(I857&gt;80,I857&lt;=100),4,”5”)))))</f>
        <v>1</v>
      </c>
    </row>
    <row r="858" spans="1:10" x14ac:dyDescent="0.3">
      <c r="A858" t="str">
        <f t="shared" si="19"/>
        <v>59039_79</v>
      </c>
      <c r="B858">
        <f>VLOOKUP(C858,[1]lookuptable!$A$1:$C$7,2,0)</f>
        <v>59039</v>
      </c>
      <c r="C858" t="s">
        <v>16</v>
      </c>
      <c r="D858" s="1">
        <v>79</v>
      </c>
      <c r="E858">
        <v>0</v>
      </c>
      <c r="F858">
        <v>172</v>
      </c>
      <c r="G858">
        <v>172</v>
      </c>
      <c r="H858">
        <v>534</v>
      </c>
      <c r="I858" s="2">
        <v>32.209737830000002</v>
      </c>
      <c r="J858" cm="1">
        <f t="array" ref="J858">IF(AND(I858&gt;=0,I858&lt;=20),0,IF(AND(I858&gt;20,I858&lt;=40),1, IF(AND(I858&gt;40,I858&lt;=60),2,IF(AND(I858&gt;60,I858&lt;=80),3, IF(AND(I858&gt;80,I858&lt;=100),4,”5”)))))</f>
        <v>1</v>
      </c>
    </row>
    <row r="859" spans="1:10" x14ac:dyDescent="0.3">
      <c r="A859" t="str">
        <f t="shared" si="19"/>
        <v>59039_80</v>
      </c>
      <c r="B859">
        <f>VLOOKUP(C859,[1]lookuptable!$A$1:$C$7,2,0)</f>
        <v>59039</v>
      </c>
      <c r="C859" t="s">
        <v>16</v>
      </c>
      <c r="D859" s="1">
        <v>80</v>
      </c>
      <c r="E859">
        <v>1</v>
      </c>
      <c r="F859">
        <v>166</v>
      </c>
      <c r="G859">
        <v>167</v>
      </c>
      <c r="H859">
        <v>500</v>
      </c>
      <c r="I859" s="2">
        <v>33.4</v>
      </c>
      <c r="J859" cm="1">
        <f t="array" ref="J859">IF(AND(I859&gt;=0,I859&lt;=20),0,IF(AND(I859&gt;20,I859&lt;=40),1, IF(AND(I859&gt;40,I859&lt;=60),2,IF(AND(I859&gt;60,I859&lt;=80),3, IF(AND(I859&gt;80,I859&lt;=100),4,”5”)))))</f>
        <v>1</v>
      </c>
    </row>
    <row r="860" spans="1:10" x14ac:dyDescent="0.3">
      <c r="A860" t="str">
        <f t="shared" si="19"/>
        <v>59039_81</v>
      </c>
      <c r="B860">
        <f>VLOOKUP(C860,[1]lookuptable!$A$1:$C$7,2,0)</f>
        <v>59039</v>
      </c>
      <c r="C860" t="s">
        <v>16</v>
      </c>
      <c r="D860" s="1">
        <v>81</v>
      </c>
      <c r="E860">
        <v>3</v>
      </c>
      <c r="F860">
        <v>174</v>
      </c>
      <c r="G860">
        <v>177</v>
      </c>
      <c r="H860">
        <v>576</v>
      </c>
      <c r="I860" s="2">
        <v>30.729166670000001</v>
      </c>
      <c r="J860" cm="1">
        <f t="array" ref="J860">IF(AND(I860&gt;=0,I860&lt;=20),0,IF(AND(I860&gt;20,I860&lt;=40),1, IF(AND(I860&gt;40,I860&lt;=60),2,IF(AND(I860&gt;60,I860&lt;=80),3, IF(AND(I860&gt;80,I860&lt;=100),4,”5”)))))</f>
        <v>1</v>
      </c>
    </row>
    <row r="861" spans="1:10" x14ac:dyDescent="0.3">
      <c r="A861" t="str">
        <f t="shared" si="19"/>
        <v>59039_82</v>
      </c>
      <c r="B861">
        <f>VLOOKUP(C861,[1]lookuptable!$A$1:$C$7,2,0)</f>
        <v>59039</v>
      </c>
      <c r="C861" t="s">
        <v>16</v>
      </c>
      <c r="D861" s="1">
        <v>82</v>
      </c>
      <c r="E861">
        <v>1</v>
      </c>
      <c r="F861">
        <v>146</v>
      </c>
      <c r="G861">
        <v>147</v>
      </c>
      <c r="H861">
        <v>543</v>
      </c>
      <c r="I861" s="2">
        <v>27.071823200000001</v>
      </c>
      <c r="J861" cm="1">
        <f t="array" ref="J861">IF(AND(I861&gt;=0,I861&lt;=20),0,IF(AND(I861&gt;20,I861&lt;=40),1, IF(AND(I861&gt;40,I861&lt;=60),2,IF(AND(I861&gt;60,I861&lt;=80),3, IF(AND(I861&gt;80,I861&lt;=100),4,”5”)))))</f>
        <v>1</v>
      </c>
    </row>
    <row r="862" spans="1:10" x14ac:dyDescent="0.3">
      <c r="A862" t="str">
        <f t="shared" si="19"/>
        <v>59039_83</v>
      </c>
      <c r="B862">
        <f>VLOOKUP(C862,[1]lookuptable!$A$1:$C$7,2,0)</f>
        <v>59039</v>
      </c>
      <c r="C862" t="s">
        <v>16</v>
      </c>
      <c r="D862" s="1">
        <v>83</v>
      </c>
      <c r="E862">
        <v>0</v>
      </c>
      <c r="F862">
        <v>174</v>
      </c>
      <c r="G862">
        <v>174</v>
      </c>
      <c r="H862">
        <v>535</v>
      </c>
      <c r="I862" s="2">
        <v>32.523364489999999</v>
      </c>
      <c r="J862" cm="1">
        <f t="array" ref="J862">IF(AND(I862&gt;=0,I862&lt;=20),0,IF(AND(I862&gt;20,I862&lt;=40),1, IF(AND(I862&gt;40,I862&lt;=60),2,IF(AND(I862&gt;60,I862&lt;=80),3, IF(AND(I862&gt;80,I862&lt;=100),4,”5”)))))</f>
        <v>1</v>
      </c>
    </row>
    <row r="863" spans="1:10" x14ac:dyDescent="0.3">
      <c r="A863" t="str">
        <f t="shared" si="19"/>
        <v>59039_84</v>
      </c>
      <c r="B863">
        <f>VLOOKUP(C863,[1]lookuptable!$A$1:$C$7,2,0)</f>
        <v>59039</v>
      </c>
      <c r="C863" t="s">
        <v>16</v>
      </c>
      <c r="D863" s="1">
        <v>84</v>
      </c>
      <c r="E863">
        <v>0</v>
      </c>
      <c r="F863">
        <v>181</v>
      </c>
      <c r="G863">
        <v>181</v>
      </c>
      <c r="H863">
        <v>535</v>
      </c>
      <c r="I863" s="2">
        <v>33.831775700000001</v>
      </c>
      <c r="J863" cm="1">
        <f t="array" ref="J863">IF(AND(I863&gt;=0,I863&lt;=20),0,IF(AND(I863&gt;20,I863&lt;=40),1, IF(AND(I863&gt;40,I863&lt;=60),2,IF(AND(I863&gt;60,I863&lt;=80),3, IF(AND(I863&gt;80,I863&lt;=100),4,”5”)))))</f>
        <v>1</v>
      </c>
    </row>
    <row r="864" spans="1:10" x14ac:dyDescent="0.3">
      <c r="A864" t="str">
        <f t="shared" si="19"/>
        <v>59039_85</v>
      </c>
      <c r="B864">
        <f>VLOOKUP(C864,[1]lookuptable!$A$1:$C$7,2,0)</f>
        <v>59039</v>
      </c>
      <c r="C864" t="s">
        <v>16</v>
      </c>
      <c r="D864" s="1">
        <v>85</v>
      </c>
      <c r="E864">
        <v>0</v>
      </c>
      <c r="F864">
        <v>259</v>
      </c>
      <c r="G864">
        <v>259</v>
      </c>
      <c r="H864">
        <v>574</v>
      </c>
      <c r="I864" s="2">
        <v>45.12195122</v>
      </c>
      <c r="J864" cm="1">
        <f t="array" ref="J864">IF(AND(I864&gt;=0,I864&lt;=20),0,IF(AND(I864&gt;20,I864&lt;=40),1, IF(AND(I864&gt;40,I864&lt;=60),2,IF(AND(I864&gt;60,I864&lt;=80),3, IF(AND(I864&gt;80,I864&lt;=100),4,”5”)))))</f>
        <v>2</v>
      </c>
    </row>
    <row r="865" spans="1:10" x14ac:dyDescent="0.3">
      <c r="A865" t="str">
        <f t="shared" si="19"/>
        <v>59039_86</v>
      </c>
      <c r="B865">
        <f>VLOOKUP(C865,[1]lookuptable!$A$1:$C$7,2,0)</f>
        <v>59039</v>
      </c>
      <c r="C865" t="s">
        <v>16</v>
      </c>
      <c r="D865" s="1">
        <v>86</v>
      </c>
      <c r="E865">
        <v>3</v>
      </c>
      <c r="F865">
        <v>196</v>
      </c>
      <c r="G865">
        <v>199</v>
      </c>
      <c r="H865">
        <v>500</v>
      </c>
      <c r="I865" s="2">
        <v>39.799999999999997</v>
      </c>
      <c r="J865" cm="1">
        <f t="array" ref="J865">IF(AND(I865&gt;=0,I865&lt;=20),0,IF(AND(I865&gt;20,I865&lt;=40),1, IF(AND(I865&gt;40,I865&lt;=60),2,IF(AND(I865&gt;60,I865&lt;=80),3, IF(AND(I865&gt;80,I865&lt;=100),4,”5”)))))</f>
        <v>1</v>
      </c>
    </row>
    <row r="866" spans="1:10" x14ac:dyDescent="0.3">
      <c r="A866" t="str">
        <f t="shared" si="19"/>
        <v>59039_87</v>
      </c>
      <c r="B866">
        <f>VLOOKUP(C866,[1]lookuptable!$A$1:$C$7,2,0)</f>
        <v>59039</v>
      </c>
      <c r="C866" t="s">
        <v>16</v>
      </c>
      <c r="D866" s="1">
        <v>87</v>
      </c>
      <c r="E866">
        <v>0</v>
      </c>
      <c r="F866">
        <v>215</v>
      </c>
      <c r="G866">
        <v>215</v>
      </c>
      <c r="H866">
        <v>571</v>
      </c>
      <c r="I866" s="2">
        <v>37.653239929999998</v>
      </c>
      <c r="J866" cm="1">
        <f t="array" ref="J866">IF(AND(I866&gt;=0,I866&lt;=20),0,IF(AND(I866&gt;20,I866&lt;=40),1, IF(AND(I866&gt;40,I866&lt;=60),2,IF(AND(I866&gt;60,I866&lt;=80),3, IF(AND(I866&gt;80,I866&lt;=100),4,”5”)))))</f>
        <v>1</v>
      </c>
    </row>
    <row r="867" spans="1:10" x14ac:dyDescent="0.3">
      <c r="A867" t="str">
        <f t="shared" si="19"/>
        <v>59039_88</v>
      </c>
      <c r="B867">
        <f>VLOOKUP(C867,[1]lookuptable!$A$1:$C$7,2,0)</f>
        <v>59039</v>
      </c>
      <c r="C867" t="s">
        <v>16</v>
      </c>
      <c r="D867" s="1">
        <v>88</v>
      </c>
      <c r="E867">
        <v>0</v>
      </c>
      <c r="F867">
        <v>141</v>
      </c>
      <c r="G867">
        <v>141</v>
      </c>
      <c r="H867">
        <v>467</v>
      </c>
      <c r="I867" s="2">
        <v>30.192719490000002</v>
      </c>
      <c r="J867" cm="1">
        <f t="array" ref="J867">IF(AND(I867&gt;=0,I867&lt;=20),0,IF(AND(I867&gt;20,I867&lt;=40),1, IF(AND(I867&gt;40,I867&lt;=60),2,IF(AND(I867&gt;60,I867&lt;=80),3, IF(AND(I867&gt;80,I867&lt;=100),4,”5”)))))</f>
        <v>1</v>
      </c>
    </row>
    <row r="868" spans="1:10" x14ac:dyDescent="0.3">
      <c r="A868" t="str">
        <f t="shared" si="19"/>
        <v>59039_89</v>
      </c>
      <c r="B868">
        <f>VLOOKUP(C868,[1]lookuptable!$A$1:$C$7,2,0)</f>
        <v>59039</v>
      </c>
      <c r="C868" t="s">
        <v>16</v>
      </c>
      <c r="D868" s="1">
        <v>89</v>
      </c>
      <c r="E868">
        <v>0</v>
      </c>
      <c r="F868">
        <v>123</v>
      </c>
      <c r="G868">
        <v>123</v>
      </c>
      <c r="H868">
        <v>453</v>
      </c>
      <c r="I868" s="2">
        <v>27.152317879999998</v>
      </c>
      <c r="J868" cm="1">
        <f t="array" ref="J868">IF(AND(I868&gt;=0,I868&lt;=20),0,IF(AND(I868&gt;20,I868&lt;=40),1, IF(AND(I868&gt;40,I868&lt;=60),2,IF(AND(I868&gt;60,I868&lt;=80),3, IF(AND(I868&gt;80,I868&lt;=100),4,”5”)))))</f>
        <v>1</v>
      </c>
    </row>
    <row r="869" spans="1:10" x14ac:dyDescent="0.3">
      <c r="A869" t="str">
        <f t="shared" si="19"/>
        <v>59039_90</v>
      </c>
      <c r="B869">
        <f>VLOOKUP(C869,[1]lookuptable!$A$1:$C$7,2,0)</f>
        <v>59039</v>
      </c>
      <c r="C869" t="s">
        <v>16</v>
      </c>
      <c r="D869" s="1">
        <v>90</v>
      </c>
      <c r="E869">
        <v>0</v>
      </c>
      <c r="F869">
        <v>142</v>
      </c>
      <c r="G869">
        <v>142</v>
      </c>
      <c r="H869">
        <v>516</v>
      </c>
      <c r="I869" s="2">
        <v>27.519379839999999</v>
      </c>
      <c r="J869" cm="1">
        <f t="array" ref="J869">IF(AND(I869&gt;=0,I869&lt;=20),0,IF(AND(I869&gt;20,I869&lt;=40),1, IF(AND(I869&gt;40,I869&lt;=60),2,IF(AND(I869&gt;60,I869&lt;=80),3, IF(AND(I869&gt;80,I869&lt;=100),4,”5”)))))</f>
        <v>1</v>
      </c>
    </row>
    <row r="870" spans="1:10" x14ac:dyDescent="0.3">
      <c r="A870" t="str">
        <f t="shared" si="19"/>
        <v>59039_91</v>
      </c>
      <c r="B870">
        <f>VLOOKUP(C870,[1]lookuptable!$A$1:$C$7,2,0)</f>
        <v>59039</v>
      </c>
      <c r="C870" t="s">
        <v>16</v>
      </c>
      <c r="D870" s="1">
        <v>91</v>
      </c>
      <c r="E870">
        <v>0</v>
      </c>
      <c r="F870">
        <v>148</v>
      </c>
      <c r="G870">
        <v>148</v>
      </c>
      <c r="H870">
        <v>531</v>
      </c>
      <c r="I870" s="2">
        <v>27.871939739999998</v>
      </c>
      <c r="J870" cm="1">
        <f t="array" ref="J870">IF(AND(I870&gt;=0,I870&lt;=20),0,IF(AND(I870&gt;20,I870&lt;=40),1, IF(AND(I870&gt;40,I870&lt;=60),2,IF(AND(I870&gt;60,I870&lt;=80),3, IF(AND(I870&gt;80,I870&lt;=100),4,”5”)))))</f>
        <v>1</v>
      </c>
    </row>
    <row r="871" spans="1:10" x14ac:dyDescent="0.3">
      <c r="A871" t="str">
        <f t="shared" si="19"/>
        <v>59039_92</v>
      </c>
      <c r="B871">
        <f>VLOOKUP(C871,[1]lookuptable!$A$1:$C$7,2,0)</f>
        <v>59039</v>
      </c>
      <c r="C871" t="s">
        <v>16</v>
      </c>
      <c r="D871" s="1">
        <v>92</v>
      </c>
      <c r="E871">
        <v>0</v>
      </c>
      <c r="F871">
        <v>166</v>
      </c>
      <c r="G871">
        <v>166</v>
      </c>
      <c r="H871">
        <v>583</v>
      </c>
      <c r="I871" s="2">
        <v>28.47341338</v>
      </c>
      <c r="J871" cm="1">
        <f t="array" ref="J871">IF(AND(I871&gt;=0,I871&lt;=20),0,IF(AND(I871&gt;20,I871&lt;=40),1, IF(AND(I871&gt;40,I871&lt;=60),2,IF(AND(I871&gt;60,I871&lt;=80),3, IF(AND(I871&gt;80,I871&lt;=100),4,”5”)))))</f>
        <v>1</v>
      </c>
    </row>
    <row r="872" spans="1:10" x14ac:dyDescent="0.3">
      <c r="A872" t="str">
        <f t="shared" si="19"/>
        <v>59039_93</v>
      </c>
      <c r="B872">
        <f>VLOOKUP(C872,[1]lookuptable!$A$1:$C$7,2,0)</f>
        <v>59039</v>
      </c>
      <c r="C872" t="s">
        <v>16</v>
      </c>
      <c r="D872" s="1">
        <v>93</v>
      </c>
      <c r="E872">
        <v>1</v>
      </c>
      <c r="F872">
        <v>179</v>
      </c>
      <c r="G872">
        <v>180</v>
      </c>
      <c r="H872">
        <v>494</v>
      </c>
      <c r="I872" s="2">
        <v>36.437246960000003</v>
      </c>
      <c r="J872" cm="1">
        <f t="array" ref="J872">IF(AND(I872&gt;=0,I872&lt;=20),0,IF(AND(I872&gt;20,I872&lt;=40),1, IF(AND(I872&gt;40,I872&lt;=60),2,IF(AND(I872&gt;60,I872&lt;=80),3, IF(AND(I872&gt;80,I872&lt;=100),4,”5”)))))</f>
        <v>1</v>
      </c>
    </row>
    <row r="873" spans="1:10" x14ac:dyDescent="0.3">
      <c r="A873" t="str">
        <f t="shared" si="19"/>
        <v>59039_94</v>
      </c>
      <c r="B873">
        <f>VLOOKUP(C873,[1]lookuptable!$A$1:$C$7,2,0)</f>
        <v>59039</v>
      </c>
      <c r="C873" t="s">
        <v>16</v>
      </c>
      <c r="D873" s="1">
        <v>94</v>
      </c>
      <c r="E873">
        <v>0</v>
      </c>
      <c r="F873">
        <v>226</v>
      </c>
      <c r="G873">
        <v>226</v>
      </c>
      <c r="H873">
        <v>600</v>
      </c>
      <c r="I873" s="2">
        <v>37.666666669999998</v>
      </c>
      <c r="J873" cm="1">
        <f t="array" ref="J873">IF(AND(I873&gt;=0,I873&lt;=20),0,IF(AND(I873&gt;20,I873&lt;=40),1, IF(AND(I873&gt;40,I873&lt;=60),2,IF(AND(I873&gt;60,I873&lt;=80),3, IF(AND(I873&gt;80,I873&lt;=100),4,”5”)))))</f>
        <v>1</v>
      </c>
    </row>
    <row r="874" spans="1:10" x14ac:dyDescent="0.3">
      <c r="A874" t="str">
        <f t="shared" si="19"/>
        <v>59039_95</v>
      </c>
      <c r="B874">
        <f>VLOOKUP(C874,[1]lookuptable!$A$1:$C$7,2,0)</f>
        <v>59039</v>
      </c>
      <c r="C874" t="s">
        <v>16</v>
      </c>
      <c r="D874" s="1">
        <v>95</v>
      </c>
      <c r="E874">
        <v>0</v>
      </c>
      <c r="F874">
        <v>195</v>
      </c>
      <c r="G874">
        <v>195</v>
      </c>
      <c r="H874">
        <v>563</v>
      </c>
      <c r="I874" s="2">
        <v>34.63587922</v>
      </c>
      <c r="J874" cm="1">
        <f t="array" ref="J874">IF(AND(I874&gt;=0,I874&lt;=20),0,IF(AND(I874&gt;20,I874&lt;=40),1, IF(AND(I874&gt;40,I874&lt;=60),2,IF(AND(I874&gt;60,I874&lt;=80),3, IF(AND(I874&gt;80,I874&lt;=100),4,”5”)))))</f>
        <v>1</v>
      </c>
    </row>
    <row r="875" spans="1:10" x14ac:dyDescent="0.3">
      <c r="A875" t="str">
        <f t="shared" si="19"/>
        <v>59039_96</v>
      </c>
      <c r="B875">
        <f>VLOOKUP(C875,[1]lookuptable!$A$1:$C$7,2,0)</f>
        <v>59039</v>
      </c>
      <c r="C875" t="s">
        <v>16</v>
      </c>
      <c r="D875" s="1">
        <v>96</v>
      </c>
      <c r="E875">
        <v>0</v>
      </c>
      <c r="F875">
        <v>151</v>
      </c>
      <c r="G875">
        <v>151</v>
      </c>
      <c r="H875">
        <v>544</v>
      </c>
      <c r="I875" s="2">
        <v>27.757352940000001</v>
      </c>
      <c r="J875" cm="1">
        <f t="array" ref="J875">IF(AND(I875&gt;=0,I875&lt;=20),0,IF(AND(I875&gt;20,I875&lt;=40),1, IF(AND(I875&gt;40,I875&lt;=60),2,IF(AND(I875&gt;60,I875&lt;=80),3, IF(AND(I875&gt;80,I875&lt;=100),4,”5”)))))</f>
        <v>1</v>
      </c>
    </row>
    <row r="876" spans="1:10" x14ac:dyDescent="0.3">
      <c r="A876" t="str">
        <f t="shared" si="19"/>
        <v>59039_97</v>
      </c>
      <c r="B876">
        <f>VLOOKUP(C876,[1]lookuptable!$A$1:$C$7,2,0)</f>
        <v>59039</v>
      </c>
      <c r="C876" t="s">
        <v>16</v>
      </c>
      <c r="D876" s="1">
        <v>97</v>
      </c>
      <c r="E876">
        <v>0</v>
      </c>
      <c r="F876">
        <v>213</v>
      </c>
      <c r="G876">
        <v>213</v>
      </c>
      <c r="H876">
        <v>558</v>
      </c>
      <c r="I876" s="2">
        <v>38.172043010000003</v>
      </c>
      <c r="J876" cm="1">
        <f t="array" ref="J876">IF(AND(I876&gt;=0,I876&lt;=20),0,IF(AND(I876&gt;20,I876&lt;=40),1, IF(AND(I876&gt;40,I876&lt;=60),2,IF(AND(I876&gt;60,I876&lt;=80),3, IF(AND(I876&gt;80,I876&lt;=100),4,”5”)))))</f>
        <v>1</v>
      </c>
    </row>
    <row r="877" spans="1:10" x14ac:dyDescent="0.3">
      <c r="A877" t="str">
        <f t="shared" si="19"/>
        <v>59039_98</v>
      </c>
      <c r="B877">
        <f>VLOOKUP(C877,[1]lookuptable!$A$1:$C$7,2,0)</f>
        <v>59039</v>
      </c>
      <c r="C877" t="s">
        <v>16</v>
      </c>
      <c r="D877" s="1">
        <v>98</v>
      </c>
      <c r="E877">
        <v>0</v>
      </c>
      <c r="F877">
        <v>206</v>
      </c>
      <c r="G877">
        <v>206</v>
      </c>
      <c r="H877">
        <v>539</v>
      </c>
      <c r="I877" s="2">
        <v>38.218923930000003</v>
      </c>
      <c r="J877" cm="1">
        <f t="array" ref="J877">IF(AND(I877&gt;=0,I877&lt;=20),0,IF(AND(I877&gt;20,I877&lt;=40),1, IF(AND(I877&gt;40,I877&lt;=60),2,IF(AND(I877&gt;60,I877&lt;=80),3, IF(AND(I877&gt;80,I877&lt;=100),4,”5”)))))</f>
        <v>1</v>
      </c>
    </row>
    <row r="878" spans="1:10" x14ac:dyDescent="0.3">
      <c r="A878" t="str">
        <f t="shared" si="19"/>
        <v>59039_99</v>
      </c>
      <c r="B878">
        <f>VLOOKUP(C878,[1]lookuptable!$A$1:$C$7,2,0)</f>
        <v>59039</v>
      </c>
      <c r="C878" t="s">
        <v>16</v>
      </c>
      <c r="D878" s="1">
        <v>99</v>
      </c>
      <c r="E878">
        <v>1</v>
      </c>
      <c r="F878">
        <v>214</v>
      </c>
      <c r="G878">
        <v>215</v>
      </c>
      <c r="H878">
        <v>604</v>
      </c>
      <c r="I878" s="2">
        <v>35.59602649</v>
      </c>
      <c r="J878" cm="1">
        <f t="array" ref="J878">IF(AND(I878&gt;=0,I878&lt;=20),0,IF(AND(I878&gt;20,I878&lt;=40),1, IF(AND(I878&gt;40,I878&lt;=60),2,IF(AND(I878&gt;60,I878&lt;=80),3, IF(AND(I878&gt;80,I878&lt;=100),4,”5”)))))</f>
        <v>1</v>
      </c>
    </row>
    <row r="879" spans="1:10" x14ac:dyDescent="0.3">
      <c r="A879" t="str">
        <f t="shared" si="19"/>
        <v>59039_100</v>
      </c>
      <c r="B879">
        <f>VLOOKUP(C879,[1]lookuptable!$A$1:$C$7,2,0)</f>
        <v>59039</v>
      </c>
      <c r="C879" t="s">
        <v>16</v>
      </c>
      <c r="D879" s="1">
        <v>100</v>
      </c>
      <c r="E879">
        <v>0</v>
      </c>
      <c r="F879">
        <v>179</v>
      </c>
      <c r="G879">
        <v>179</v>
      </c>
      <c r="H879">
        <v>583</v>
      </c>
      <c r="I879" s="2">
        <v>30.70325901</v>
      </c>
      <c r="J879" cm="1">
        <f t="array" ref="J879">IF(AND(I879&gt;=0,I879&lt;=20),0,IF(AND(I879&gt;20,I879&lt;=40),1, IF(AND(I879&gt;40,I879&lt;=60),2,IF(AND(I879&gt;60,I879&lt;=80),3, IF(AND(I879&gt;80,I879&lt;=100),4,”5”)))))</f>
        <v>1</v>
      </c>
    </row>
    <row r="880" spans="1:10" x14ac:dyDescent="0.3">
      <c r="A880" t="str">
        <f t="shared" si="19"/>
        <v>59039_101</v>
      </c>
      <c r="B880">
        <f>VLOOKUP(C880,[1]lookuptable!$A$1:$C$7,2,0)</f>
        <v>59039</v>
      </c>
      <c r="C880" t="s">
        <v>16</v>
      </c>
      <c r="D880" s="1">
        <v>101</v>
      </c>
      <c r="E880">
        <v>0</v>
      </c>
      <c r="F880">
        <v>184</v>
      </c>
      <c r="G880">
        <v>184</v>
      </c>
      <c r="H880">
        <v>530</v>
      </c>
      <c r="I880" s="2">
        <v>34.716981130000001</v>
      </c>
      <c r="J880" cm="1">
        <f t="array" ref="J880">IF(AND(I880&gt;=0,I880&lt;=20),0,IF(AND(I880&gt;20,I880&lt;=40),1, IF(AND(I880&gt;40,I880&lt;=60),2,IF(AND(I880&gt;60,I880&lt;=80),3, IF(AND(I880&gt;80,I880&lt;=100),4,”5”)))))</f>
        <v>1</v>
      </c>
    </row>
    <row r="881" spans="1:10" x14ac:dyDescent="0.3">
      <c r="A881" t="str">
        <f t="shared" si="19"/>
        <v>59039_102</v>
      </c>
      <c r="B881">
        <f>VLOOKUP(C881,[1]lookuptable!$A$1:$C$7,2,0)</f>
        <v>59039</v>
      </c>
      <c r="C881" t="s">
        <v>16</v>
      </c>
      <c r="D881" s="1">
        <v>102</v>
      </c>
      <c r="E881">
        <v>0</v>
      </c>
      <c r="F881">
        <v>177</v>
      </c>
      <c r="G881">
        <v>177</v>
      </c>
      <c r="H881">
        <v>564</v>
      </c>
      <c r="I881" s="2">
        <v>31.382978720000001</v>
      </c>
      <c r="J881" cm="1">
        <f t="array" ref="J881">IF(AND(I881&gt;=0,I881&lt;=20),0,IF(AND(I881&gt;20,I881&lt;=40),1, IF(AND(I881&gt;40,I881&lt;=60),2,IF(AND(I881&gt;60,I881&lt;=80),3, IF(AND(I881&gt;80,I881&lt;=100),4,”5”)))))</f>
        <v>1</v>
      </c>
    </row>
    <row r="882" spans="1:10" x14ac:dyDescent="0.3">
      <c r="A882" t="str">
        <f t="shared" si="19"/>
        <v>59039_103</v>
      </c>
      <c r="B882">
        <f>VLOOKUP(C882,[1]lookuptable!$A$1:$C$7,2,0)</f>
        <v>59039</v>
      </c>
      <c r="C882" t="s">
        <v>16</v>
      </c>
      <c r="D882" s="1">
        <v>103</v>
      </c>
      <c r="E882">
        <v>1</v>
      </c>
      <c r="F882">
        <v>158</v>
      </c>
      <c r="G882">
        <v>159</v>
      </c>
      <c r="H882">
        <v>529</v>
      </c>
      <c r="I882" s="2">
        <v>30.05671078</v>
      </c>
      <c r="J882" cm="1">
        <f t="array" ref="J882">IF(AND(I882&gt;=0,I882&lt;=20),0,IF(AND(I882&gt;20,I882&lt;=40),1, IF(AND(I882&gt;40,I882&lt;=60),2,IF(AND(I882&gt;60,I882&lt;=80),3, IF(AND(I882&gt;80,I882&lt;=100),4,”5”)))))</f>
        <v>1</v>
      </c>
    </row>
    <row r="883" spans="1:10" x14ac:dyDescent="0.3">
      <c r="A883" t="str">
        <f t="shared" si="19"/>
        <v>59039_104</v>
      </c>
      <c r="B883">
        <f>VLOOKUP(C883,[1]lookuptable!$A$1:$C$7,2,0)</f>
        <v>59039</v>
      </c>
      <c r="C883" t="s">
        <v>16</v>
      </c>
      <c r="D883" s="1">
        <v>104</v>
      </c>
      <c r="E883">
        <v>0</v>
      </c>
      <c r="F883">
        <v>173</v>
      </c>
      <c r="G883">
        <v>173</v>
      </c>
      <c r="H883">
        <v>595</v>
      </c>
      <c r="I883" s="2">
        <v>29.07563025</v>
      </c>
      <c r="J883" cm="1">
        <f t="array" ref="J883">IF(AND(I883&gt;=0,I883&lt;=20),0,IF(AND(I883&gt;20,I883&lt;=40),1, IF(AND(I883&gt;40,I883&lt;=60),2,IF(AND(I883&gt;60,I883&lt;=80),3, IF(AND(I883&gt;80,I883&lt;=100),4,”5”)))))</f>
        <v>1</v>
      </c>
    </row>
    <row r="884" spans="1:10" x14ac:dyDescent="0.3">
      <c r="A884" t="str">
        <f t="shared" si="19"/>
        <v>59039_105</v>
      </c>
      <c r="B884">
        <f>VLOOKUP(C884,[1]lookuptable!$A$1:$C$7,2,0)</f>
        <v>59039</v>
      </c>
      <c r="C884" t="s">
        <v>16</v>
      </c>
      <c r="D884" s="1">
        <v>105</v>
      </c>
      <c r="E884">
        <v>0</v>
      </c>
      <c r="F884">
        <v>142</v>
      </c>
      <c r="G884">
        <v>142</v>
      </c>
      <c r="H884">
        <v>509</v>
      </c>
      <c r="I884" s="2">
        <v>27.8978389</v>
      </c>
      <c r="J884" cm="1">
        <f t="array" ref="J884">IF(AND(I884&gt;=0,I884&lt;=20),0,IF(AND(I884&gt;20,I884&lt;=40),1, IF(AND(I884&gt;40,I884&lt;=60),2,IF(AND(I884&gt;60,I884&lt;=80),3, IF(AND(I884&gt;80,I884&lt;=100),4,”5”)))))</f>
        <v>1</v>
      </c>
    </row>
    <row r="885" spans="1:10" x14ac:dyDescent="0.3">
      <c r="A885" t="str">
        <f t="shared" si="19"/>
        <v>59039_106</v>
      </c>
      <c r="B885">
        <f>VLOOKUP(C885,[1]lookuptable!$A$1:$C$7,2,0)</f>
        <v>59039</v>
      </c>
      <c r="C885" t="s">
        <v>16</v>
      </c>
      <c r="D885" s="1">
        <v>106</v>
      </c>
      <c r="E885">
        <v>0</v>
      </c>
      <c r="F885">
        <v>131</v>
      </c>
      <c r="G885">
        <v>131</v>
      </c>
      <c r="H885">
        <v>573</v>
      </c>
      <c r="I885" s="2">
        <v>22.86212914</v>
      </c>
      <c r="J885" cm="1">
        <f t="array" ref="J885">IF(AND(I885&gt;=0,I885&lt;=20),0,IF(AND(I885&gt;20,I885&lt;=40),1, IF(AND(I885&gt;40,I885&lt;=60),2,IF(AND(I885&gt;60,I885&lt;=80),3, IF(AND(I885&gt;80,I885&lt;=100),4,”5”)))))</f>
        <v>1</v>
      </c>
    </row>
    <row r="886" spans="1:10" x14ac:dyDescent="0.3">
      <c r="A886" t="str">
        <f t="shared" si="19"/>
        <v>59039_107</v>
      </c>
      <c r="B886">
        <f>VLOOKUP(C886,[1]lookuptable!$A$1:$C$7,2,0)</f>
        <v>59039</v>
      </c>
      <c r="C886" t="s">
        <v>16</v>
      </c>
      <c r="D886" s="1">
        <v>107</v>
      </c>
      <c r="E886">
        <v>0</v>
      </c>
      <c r="F886">
        <v>169</v>
      </c>
      <c r="G886">
        <v>169</v>
      </c>
      <c r="H886">
        <v>580</v>
      </c>
      <c r="I886" s="2">
        <v>29.137931030000001</v>
      </c>
      <c r="J886" cm="1">
        <f t="array" ref="J886">IF(AND(I886&gt;=0,I886&lt;=20),0,IF(AND(I886&gt;20,I886&lt;=40),1, IF(AND(I886&gt;40,I886&lt;=60),2,IF(AND(I886&gt;60,I886&lt;=80),3, IF(AND(I886&gt;80,I886&lt;=100),4,”5”)))))</f>
        <v>1</v>
      </c>
    </row>
    <row r="887" spans="1:10" x14ac:dyDescent="0.3">
      <c r="A887" t="str">
        <f t="shared" si="19"/>
        <v>59039_108</v>
      </c>
      <c r="B887">
        <f>VLOOKUP(C887,[1]lookuptable!$A$1:$C$7,2,0)</f>
        <v>59039</v>
      </c>
      <c r="C887" t="s">
        <v>16</v>
      </c>
      <c r="D887" s="1">
        <v>108</v>
      </c>
      <c r="E887">
        <v>4</v>
      </c>
      <c r="F887">
        <v>238</v>
      </c>
      <c r="G887">
        <v>242</v>
      </c>
      <c r="H887">
        <v>646</v>
      </c>
      <c r="I887" s="2">
        <v>37.461300309999999</v>
      </c>
      <c r="J887" cm="1">
        <f t="array" ref="J887">IF(AND(I887&gt;=0,I887&lt;=20),0,IF(AND(I887&gt;20,I887&lt;=40),1, IF(AND(I887&gt;40,I887&lt;=60),2,IF(AND(I887&gt;60,I887&lt;=80),3, IF(AND(I887&gt;80,I887&lt;=100),4,”5”)))))</f>
        <v>1</v>
      </c>
    </row>
    <row r="888" spans="1:10" x14ac:dyDescent="0.3">
      <c r="A888" t="str">
        <f t="shared" si="19"/>
        <v>59039_109</v>
      </c>
      <c r="B888">
        <f>VLOOKUP(C888,[1]lookuptable!$A$1:$C$7,2,0)</f>
        <v>59039</v>
      </c>
      <c r="C888" t="s">
        <v>16</v>
      </c>
      <c r="D888" s="1">
        <v>109</v>
      </c>
      <c r="E888">
        <v>0</v>
      </c>
      <c r="F888">
        <v>179</v>
      </c>
      <c r="G888">
        <v>179</v>
      </c>
      <c r="H888">
        <v>548</v>
      </c>
      <c r="I888" s="2">
        <v>32.664233580000001</v>
      </c>
      <c r="J888" cm="1">
        <f t="array" ref="J888">IF(AND(I888&gt;=0,I888&lt;=20),0,IF(AND(I888&gt;20,I888&lt;=40),1, IF(AND(I888&gt;40,I888&lt;=60),2,IF(AND(I888&gt;60,I888&lt;=80),3, IF(AND(I888&gt;80,I888&lt;=100),4,”5”)))))</f>
        <v>1</v>
      </c>
    </row>
    <row r="889" spans="1:10" x14ac:dyDescent="0.3">
      <c r="A889" t="str">
        <f t="shared" si="19"/>
        <v>59039_110</v>
      </c>
      <c r="B889">
        <f>VLOOKUP(C889,[1]lookuptable!$A$1:$C$7,2,0)</f>
        <v>59039</v>
      </c>
      <c r="C889" t="s">
        <v>16</v>
      </c>
      <c r="D889" s="1">
        <v>110</v>
      </c>
      <c r="E889">
        <v>1</v>
      </c>
      <c r="F889">
        <v>130</v>
      </c>
      <c r="G889">
        <v>131</v>
      </c>
      <c r="H889">
        <v>411</v>
      </c>
      <c r="I889" s="2">
        <v>31.873479320000001</v>
      </c>
      <c r="J889" cm="1">
        <f t="array" ref="J889">IF(AND(I889&gt;=0,I889&lt;=20),0,IF(AND(I889&gt;20,I889&lt;=40),1, IF(AND(I889&gt;40,I889&lt;=60),2,IF(AND(I889&gt;60,I889&lt;=80),3, IF(AND(I889&gt;80,I889&lt;=100),4,”5”)))))</f>
        <v>1</v>
      </c>
    </row>
    <row r="890" spans="1:10" x14ac:dyDescent="0.3">
      <c r="A890" t="str">
        <f t="shared" si="19"/>
        <v>59039_111</v>
      </c>
      <c r="B890">
        <f>VLOOKUP(C890,[1]lookuptable!$A$1:$C$7,2,0)</f>
        <v>59039</v>
      </c>
      <c r="C890" t="s">
        <v>16</v>
      </c>
      <c r="D890" s="1">
        <v>111</v>
      </c>
      <c r="E890">
        <v>0</v>
      </c>
      <c r="F890">
        <v>116</v>
      </c>
      <c r="G890">
        <v>116</v>
      </c>
      <c r="H890">
        <v>386</v>
      </c>
      <c r="I890" s="2">
        <v>30.051813469999999</v>
      </c>
      <c r="J890" cm="1">
        <f t="array" ref="J890">IF(AND(I890&gt;=0,I890&lt;=20),0,IF(AND(I890&gt;20,I890&lt;=40),1, IF(AND(I890&gt;40,I890&lt;=60),2,IF(AND(I890&gt;60,I890&lt;=80),3, IF(AND(I890&gt;80,I890&lt;=100),4,”5”)))))</f>
        <v>1</v>
      </c>
    </row>
    <row r="891" spans="1:10" x14ac:dyDescent="0.3">
      <c r="A891" t="str">
        <f t="shared" si="19"/>
        <v>59039_112</v>
      </c>
      <c r="B891">
        <f>VLOOKUP(C891,[1]lookuptable!$A$1:$C$7,2,0)</f>
        <v>59039</v>
      </c>
      <c r="C891" t="s">
        <v>16</v>
      </c>
      <c r="D891" s="1">
        <v>112</v>
      </c>
      <c r="E891">
        <v>0</v>
      </c>
      <c r="F891">
        <v>142</v>
      </c>
      <c r="G891">
        <v>142</v>
      </c>
      <c r="H891">
        <v>454</v>
      </c>
      <c r="I891" s="2">
        <v>31.277533040000002</v>
      </c>
      <c r="J891" cm="1">
        <f t="array" ref="J891">IF(AND(I891&gt;=0,I891&lt;=20),0,IF(AND(I891&gt;20,I891&lt;=40),1, IF(AND(I891&gt;40,I891&lt;=60),2,IF(AND(I891&gt;60,I891&lt;=80),3, IF(AND(I891&gt;80,I891&lt;=100),4,”5”)))))</f>
        <v>1</v>
      </c>
    </row>
    <row r="892" spans="1:10" x14ac:dyDescent="0.3">
      <c r="A892" t="str">
        <f t="shared" si="19"/>
        <v>59039_113</v>
      </c>
      <c r="B892">
        <f>VLOOKUP(C892,[1]lookuptable!$A$1:$C$7,2,0)</f>
        <v>59039</v>
      </c>
      <c r="C892" t="s">
        <v>16</v>
      </c>
      <c r="D892" s="1">
        <v>113</v>
      </c>
      <c r="E892">
        <v>0</v>
      </c>
      <c r="F892">
        <v>189</v>
      </c>
      <c r="G892">
        <v>189</v>
      </c>
      <c r="H892">
        <v>530</v>
      </c>
      <c r="I892" s="2">
        <v>35.660377359999998</v>
      </c>
      <c r="J892" cm="1">
        <f t="array" ref="J892">IF(AND(I892&gt;=0,I892&lt;=20),0,IF(AND(I892&gt;20,I892&lt;=40),1, IF(AND(I892&gt;40,I892&lt;=60),2,IF(AND(I892&gt;60,I892&lt;=80),3, IF(AND(I892&gt;80,I892&lt;=100),4,”5”)))))</f>
        <v>1</v>
      </c>
    </row>
    <row r="893" spans="1:10" x14ac:dyDescent="0.3">
      <c r="A893" t="str">
        <f t="shared" si="19"/>
        <v>59039_114</v>
      </c>
      <c r="B893">
        <f>VLOOKUP(C893,[1]lookuptable!$A$1:$C$7,2,0)</f>
        <v>59039</v>
      </c>
      <c r="C893" t="s">
        <v>16</v>
      </c>
      <c r="D893" s="1">
        <v>114</v>
      </c>
      <c r="E893">
        <v>1</v>
      </c>
      <c r="F893">
        <v>200</v>
      </c>
      <c r="G893">
        <v>201</v>
      </c>
      <c r="H893">
        <v>548</v>
      </c>
      <c r="I893" s="2">
        <v>36.678832120000003</v>
      </c>
      <c r="J893" cm="1">
        <f t="array" ref="J893">IF(AND(I893&gt;=0,I893&lt;=20),0,IF(AND(I893&gt;20,I893&lt;=40),1, IF(AND(I893&gt;40,I893&lt;=60),2,IF(AND(I893&gt;60,I893&lt;=80),3, IF(AND(I893&gt;80,I893&lt;=100),4,”5”)))))</f>
        <v>1</v>
      </c>
    </row>
    <row r="894" spans="1:10" x14ac:dyDescent="0.3">
      <c r="A894" t="str">
        <f t="shared" si="19"/>
        <v>59039_115</v>
      </c>
      <c r="B894">
        <f>VLOOKUP(C894,[1]lookuptable!$A$1:$C$7,2,0)</f>
        <v>59039</v>
      </c>
      <c r="C894" t="s">
        <v>16</v>
      </c>
      <c r="D894" s="1">
        <v>115</v>
      </c>
      <c r="E894">
        <v>1</v>
      </c>
      <c r="F894">
        <v>201</v>
      </c>
      <c r="G894">
        <v>202</v>
      </c>
      <c r="H894">
        <v>579</v>
      </c>
      <c r="I894" s="2">
        <v>34.887737479999998</v>
      </c>
      <c r="J894" cm="1">
        <f t="array" ref="J894">IF(AND(I894&gt;=0,I894&lt;=20),0,IF(AND(I894&gt;20,I894&lt;=40),1, IF(AND(I894&gt;40,I894&lt;=60),2,IF(AND(I894&gt;60,I894&lt;=80),3, IF(AND(I894&gt;80,I894&lt;=100),4,”5”)))))</f>
        <v>1</v>
      </c>
    </row>
    <row r="895" spans="1:10" x14ac:dyDescent="0.3">
      <c r="A895" t="str">
        <f t="shared" si="19"/>
        <v>59039_116</v>
      </c>
      <c r="B895">
        <f>VLOOKUP(C895,[1]lookuptable!$A$1:$C$7,2,0)</f>
        <v>59039</v>
      </c>
      <c r="C895" t="s">
        <v>16</v>
      </c>
      <c r="D895" s="1">
        <v>116</v>
      </c>
      <c r="E895">
        <v>2</v>
      </c>
      <c r="F895">
        <v>198</v>
      </c>
      <c r="G895">
        <v>200</v>
      </c>
      <c r="H895">
        <v>513</v>
      </c>
      <c r="I895" s="2">
        <v>38.986354779999999</v>
      </c>
      <c r="J895" cm="1">
        <f t="array" ref="J895">IF(AND(I895&gt;=0,I895&lt;=20),0,IF(AND(I895&gt;20,I895&lt;=40),1, IF(AND(I895&gt;40,I895&lt;=60),2,IF(AND(I895&gt;60,I895&lt;=80),3, IF(AND(I895&gt;80,I895&lt;=100),4,”5”)))))</f>
        <v>1</v>
      </c>
    </row>
    <row r="896" spans="1:10" x14ac:dyDescent="0.3">
      <c r="A896" t="str">
        <f t="shared" si="19"/>
        <v>59039_117</v>
      </c>
      <c r="B896">
        <f>VLOOKUP(C896,[1]lookuptable!$A$1:$C$7,2,0)</f>
        <v>59039</v>
      </c>
      <c r="C896" t="s">
        <v>16</v>
      </c>
      <c r="D896" s="1">
        <v>117</v>
      </c>
      <c r="E896">
        <v>1</v>
      </c>
      <c r="F896">
        <v>172</v>
      </c>
      <c r="G896">
        <v>173</v>
      </c>
      <c r="H896">
        <v>527</v>
      </c>
      <c r="I896" s="2">
        <v>32.827324480000001</v>
      </c>
      <c r="J896" cm="1">
        <f t="array" ref="J896">IF(AND(I896&gt;=0,I896&lt;=20),0,IF(AND(I896&gt;20,I896&lt;=40),1, IF(AND(I896&gt;40,I896&lt;=60),2,IF(AND(I896&gt;60,I896&lt;=80),3, IF(AND(I896&gt;80,I896&lt;=100),4,”5”)))))</f>
        <v>1</v>
      </c>
    </row>
    <row r="897" spans="1:10" x14ac:dyDescent="0.3">
      <c r="A897" t="str">
        <f t="shared" si="19"/>
        <v>59039_118</v>
      </c>
      <c r="B897">
        <f>VLOOKUP(C897,[1]lookuptable!$A$1:$C$7,2,0)</f>
        <v>59039</v>
      </c>
      <c r="C897" t="s">
        <v>16</v>
      </c>
      <c r="D897" s="1">
        <v>118</v>
      </c>
      <c r="E897">
        <v>0</v>
      </c>
      <c r="F897">
        <v>152</v>
      </c>
      <c r="G897">
        <v>152</v>
      </c>
      <c r="H897">
        <v>545</v>
      </c>
      <c r="I897" s="2">
        <v>27.889908259999999</v>
      </c>
      <c r="J897" cm="1">
        <f t="array" ref="J897">IF(AND(I897&gt;=0,I897&lt;=20),0,IF(AND(I897&gt;20,I897&lt;=40),1, IF(AND(I897&gt;40,I897&lt;=60),2,IF(AND(I897&gt;60,I897&lt;=80),3, IF(AND(I897&gt;80,I897&lt;=100),4,”5”)))))</f>
        <v>1</v>
      </c>
    </row>
    <row r="898" spans="1:10" x14ac:dyDescent="0.3">
      <c r="A898" t="str">
        <f t="shared" ref="A898:A961" si="20">CONCATENATE(B898,"_",D898)</f>
        <v>59039_119</v>
      </c>
      <c r="B898">
        <f>VLOOKUP(C898,[1]lookuptable!$A$1:$C$7,2,0)</f>
        <v>59039</v>
      </c>
      <c r="C898" t="s">
        <v>16</v>
      </c>
      <c r="D898" s="1">
        <v>119</v>
      </c>
      <c r="E898">
        <v>0</v>
      </c>
      <c r="F898">
        <v>159</v>
      </c>
      <c r="G898">
        <v>159</v>
      </c>
      <c r="H898">
        <v>585</v>
      </c>
      <c r="I898" s="2">
        <v>27.179487179999999</v>
      </c>
      <c r="J898" cm="1">
        <f t="array" ref="J898">IF(AND(I898&gt;=0,I898&lt;=20),0,IF(AND(I898&gt;20,I898&lt;=40),1, IF(AND(I898&gt;40,I898&lt;=60),2,IF(AND(I898&gt;60,I898&lt;=80),3, IF(AND(I898&gt;80,I898&lt;=100),4,”5”)))))</f>
        <v>1</v>
      </c>
    </row>
    <row r="899" spans="1:10" x14ac:dyDescent="0.3">
      <c r="A899" t="str">
        <f t="shared" si="20"/>
        <v>59039_120</v>
      </c>
      <c r="B899">
        <f>VLOOKUP(C899,[1]lookuptable!$A$1:$C$7,2,0)</f>
        <v>59039</v>
      </c>
      <c r="C899" t="s">
        <v>16</v>
      </c>
      <c r="D899" s="1">
        <v>120</v>
      </c>
      <c r="E899">
        <v>0</v>
      </c>
      <c r="F899">
        <v>171</v>
      </c>
      <c r="G899">
        <v>171</v>
      </c>
      <c r="H899">
        <v>585</v>
      </c>
      <c r="I899" s="2">
        <v>29.23076923</v>
      </c>
      <c r="J899" cm="1">
        <f t="array" ref="J899">IF(AND(I899&gt;=0,I899&lt;=20),0,IF(AND(I899&gt;20,I899&lt;=40),1, IF(AND(I899&gt;40,I899&lt;=60),2,IF(AND(I899&gt;60,I899&lt;=80),3, IF(AND(I899&gt;80,I899&lt;=100),4,”5”)))))</f>
        <v>1</v>
      </c>
    </row>
    <row r="900" spans="1:10" x14ac:dyDescent="0.3">
      <c r="A900" t="str">
        <f t="shared" si="20"/>
        <v>59039_121</v>
      </c>
      <c r="B900">
        <f>VLOOKUP(C900,[1]lookuptable!$A$1:$C$7,2,0)</f>
        <v>59039</v>
      </c>
      <c r="C900" t="s">
        <v>16</v>
      </c>
      <c r="D900" s="1">
        <v>121</v>
      </c>
      <c r="E900">
        <v>1</v>
      </c>
      <c r="F900">
        <v>135</v>
      </c>
      <c r="G900">
        <v>136</v>
      </c>
      <c r="H900">
        <v>609</v>
      </c>
      <c r="I900" s="2">
        <v>22.331691299999999</v>
      </c>
      <c r="J900" cm="1">
        <f t="array" ref="J900">IF(AND(I900&gt;=0,I900&lt;=20),0,IF(AND(I900&gt;20,I900&lt;=40),1, IF(AND(I900&gt;40,I900&lt;=60),2,IF(AND(I900&gt;60,I900&lt;=80),3, IF(AND(I900&gt;80,I900&lt;=100),4,”5”)))))</f>
        <v>1</v>
      </c>
    </row>
    <row r="901" spans="1:10" x14ac:dyDescent="0.3">
      <c r="A901" t="str">
        <f t="shared" si="20"/>
        <v>59039_122</v>
      </c>
      <c r="B901">
        <f>VLOOKUP(C901,[1]lookuptable!$A$1:$C$7,2,0)</f>
        <v>59039</v>
      </c>
      <c r="C901" t="s">
        <v>16</v>
      </c>
      <c r="D901" s="1">
        <v>122</v>
      </c>
      <c r="E901">
        <v>0</v>
      </c>
      <c r="F901">
        <v>151</v>
      </c>
      <c r="G901">
        <v>151</v>
      </c>
      <c r="H901">
        <v>511</v>
      </c>
      <c r="I901" s="2">
        <v>29.549902150000001</v>
      </c>
      <c r="J901" cm="1">
        <f t="array" ref="J901">IF(AND(I901&gt;=0,I901&lt;=20),0,IF(AND(I901&gt;20,I901&lt;=40),1, IF(AND(I901&gt;40,I901&lt;=60),2,IF(AND(I901&gt;60,I901&lt;=80),3, IF(AND(I901&gt;80,I901&lt;=100),4,”5”)))))</f>
        <v>1</v>
      </c>
    </row>
    <row r="902" spans="1:10" x14ac:dyDescent="0.3">
      <c r="A902" t="str">
        <f t="shared" si="20"/>
        <v>59039_123</v>
      </c>
      <c r="B902">
        <f>VLOOKUP(C902,[1]lookuptable!$A$1:$C$7,2,0)</f>
        <v>59039</v>
      </c>
      <c r="C902" t="s">
        <v>16</v>
      </c>
      <c r="D902" s="1">
        <v>123</v>
      </c>
      <c r="E902">
        <v>1</v>
      </c>
      <c r="F902">
        <v>200</v>
      </c>
      <c r="G902">
        <v>201</v>
      </c>
      <c r="H902">
        <v>578</v>
      </c>
      <c r="I902" s="2">
        <v>34.775086510000001</v>
      </c>
      <c r="J902" cm="1">
        <f t="array" ref="J902">IF(AND(I902&gt;=0,I902&lt;=20),0,IF(AND(I902&gt;20,I902&lt;=40),1, IF(AND(I902&gt;40,I902&lt;=60),2,IF(AND(I902&gt;60,I902&lt;=80),3, IF(AND(I902&gt;80,I902&lt;=100),4,”5”)))))</f>
        <v>1</v>
      </c>
    </row>
    <row r="903" spans="1:10" x14ac:dyDescent="0.3">
      <c r="A903" t="str">
        <f t="shared" si="20"/>
        <v>59039_124</v>
      </c>
      <c r="B903">
        <f>VLOOKUP(C903,[1]lookuptable!$A$1:$C$7,2,0)</f>
        <v>59039</v>
      </c>
      <c r="C903" t="s">
        <v>16</v>
      </c>
      <c r="D903" s="1">
        <v>124</v>
      </c>
      <c r="E903">
        <v>0</v>
      </c>
      <c r="F903">
        <v>137</v>
      </c>
      <c r="G903">
        <v>137</v>
      </c>
      <c r="H903">
        <v>606</v>
      </c>
      <c r="I903" s="2">
        <v>22.60726073</v>
      </c>
      <c r="J903" cm="1">
        <f t="array" ref="J903">IF(AND(I903&gt;=0,I903&lt;=20),0,IF(AND(I903&gt;20,I903&lt;=40),1, IF(AND(I903&gt;40,I903&lt;=60),2,IF(AND(I903&gt;60,I903&lt;=80),3, IF(AND(I903&gt;80,I903&lt;=100),4,”5”)))))</f>
        <v>1</v>
      </c>
    </row>
    <row r="904" spans="1:10" x14ac:dyDescent="0.3">
      <c r="A904" t="str">
        <f t="shared" si="20"/>
        <v>59039_125</v>
      </c>
      <c r="B904">
        <f>VLOOKUP(C904,[1]lookuptable!$A$1:$C$7,2,0)</f>
        <v>59039</v>
      </c>
      <c r="C904" t="s">
        <v>16</v>
      </c>
      <c r="D904" s="1">
        <v>125</v>
      </c>
      <c r="E904">
        <v>0</v>
      </c>
      <c r="F904">
        <v>159</v>
      </c>
      <c r="G904">
        <v>159</v>
      </c>
      <c r="H904">
        <v>571</v>
      </c>
      <c r="I904" s="2">
        <v>27.84588441</v>
      </c>
      <c r="J904" cm="1">
        <f t="array" ref="J904">IF(AND(I904&gt;=0,I904&lt;=20),0,IF(AND(I904&gt;20,I904&lt;=40),1, IF(AND(I904&gt;40,I904&lt;=60),2,IF(AND(I904&gt;60,I904&lt;=80),3, IF(AND(I904&gt;80,I904&lt;=100),4,”5”)))))</f>
        <v>1</v>
      </c>
    </row>
    <row r="905" spans="1:10" x14ac:dyDescent="0.3">
      <c r="A905" t="str">
        <f t="shared" si="20"/>
        <v>59039_126</v>
      </c>
      <c r="B905">
        <f>VLOOKUP(C905,[1]lookuptable!$A$1:$C$7,2,0)</f>
        <v>59039</v>
      </c>
      <c r="C905" t="s">
        <v>16</v>
      </c>
      <c r="D905" s="1">
        <v>126</v>
      </c>
      <c r="E905">
        <v>0</v>
      </c>
      <c r="F905">
        <v>137</v>
      </c>
      <c r="G905">
        <v>137</v>
      </c>
      <c r="H905">
        <v>478</v>
      </c>
      <c r="I905" s="2">
        <v>28.661087869999999</v>
      </c>
      <c r="J905" cm="1">
        <f t="array" ref="J905">IF(AND(I905&gt;=0,I905&lt;=20),0,IF(AND(I905&gt;20,I905&lt;=40),1, IF(AND(I905&gt;40,I905&lt;=60),2,IF(AND(I905&gt;60,I905&lt;=80),3, IF(AND(I905&gt;80,I905&lt;=100),4,”5”)))))</f>
        <v>1</v>
      </c>
    </row>
    <row r="906" spans="1:10" x14ac:dyDescent="0.3">
      <c r="A906" t="str">
        <f t="shared" si="20"/>
        <v>59039_127</v>
      </c>
      <c r="B906">
        <f>VLOOKUP(C906,[1]lookuptable!$A$1:$C$7,2,0)</f>
        <v>59039</v>
      </c>
      <c r="C906" t="s">
        <v>16</v>
      </c>
      <c r="D906" s="1">
        <v>127</v>
      </c>
      <c r="E906">
        <v>0</v>
      </c>
      <c r="F906">
        <v>134</v>
      </c>
      <c r="G906">
        <v>134</v>
      </c>
      <c r="H906">
        <v>573</v>
      </c>
      <c r="I906" s="2">
        <v>23.38568935</v>
      </c>
      <c r="J906" cm="1">
        <f t="array" ref="J906">IF(AND(I906&gt;=0,I906&lt;=20),0,IF(AND(I906&gt;20,I906&lt;=40),1, IF(AND(I906&gt;40,I906&lt;=60),2,IF(AND(I906&gt;60,I906&lt;=80),3, IF(AND(I906&gt;80,I906&lt;=100),4,”5”)))))</f>
        <v>1</v>
      </c>
    </row>
    <row r="907" spans="1:10" x14ac:dyDescent="0.3">
      <c r="A907" t="str">
        <f t="shared" si="20"/>
        <v>59039_128</v>
      </c>
      <c r="B907">
        <f>VLOOKUP(C907,[1]lookuptable!$A$1:$C$7,2,0)</f>
        <v>59039</v>
      </c>
      <c r="C907" t="s">
        <v>16</v>
      </c>
      <c r="D907" s="1">
        <v>128</v>
      </c>
      <c r="E907">
        <v>0</v>
      </c>
      <c r="F907">
        <v>136</v>
      </c>
      <c r="G907">
        <v>136</v>
      </c>
      <c r="H907">
        <v>522</v>
      </c>
      <c r="I907" s="2">
        <v>26.05363985</v>
      </c>
      <c r="J907" cm="1">
        <f t="array" ref="J907">IF(AND(I907&gt;=0,I907&lt;=20),0,IF(AND(I907&gt;20,I907&lt;=40),1, IF(AND(I907&gt;40,I907&lt;=60),2,IF(AND(I907&gt;60,I907&lt;=80),3, IF(AND(I907&gt;80,I907&lt;=100),4,”5”)))))</f>
        <v>1</v>
      </c>
    </row>
    <row r="908" spans="1:10" x14ac:dyDescent="0.3">
      <c r="A908" t="str">
        <f t="shared" si="20"/>
        <v>59039_129</v>
      </c>
      <c r="B908">
        <f>VLOOKUP(C908,[1]lookuptable!$A$1:$C$7,2,0)</f>
        <v>59039</v>
      </c>
      <c r="C908" t="s">
        <v>16</v>
      </c>
      <c r="D908" s="1">
        <v>129</v>
      </c>
      <c r="E908">
        <v>0</v>
      </c>
      <c r="F908">
        <v>134</v>
      </c>
      <c r="G908">
        <v>134</v>
      </c>
      <c r="H908">
        <v>560</v>
      </c>
      <c r="I908" s="2">
        <v>23.928571430000002</v>
      </c>
      <c r="J908" cm="1">
        <f t="array" ref="J908">IF(AND(I908&gt;=0,I908&lt;=20),0,IF(AND(I908&gt;20,I908&lt;=40),1, IF(AND(I908&gt;40,I908&lt;=60),2,IF(AND(I908&gt;60,I908&lt;=80),3, IF(AND(I908&gt;80,I908&lt;=100),4,”5”)))))</f>
        <v>1</v>
      </c>
    </row>
    <row r="909" spans="1:10" x14ac:dyDescent="0.3">
      <c r="A909" t="str">
        <f t="shared" si="20"/>
        <v>59039_130</v>
      </c>
      <c r="B909">
        <f>VLOOKUP(C909,[1]lookuptable!$A$1:$C$7,2,0)</f>
        <v>59039</v>
      </c>
      <c r="C909" t="s">
        <v>16</v>
      </c>
      <c r="D909" s="1">
        <v>130</v>
      </c>
      <c r="E909">
        <v>1</v>
      </c>
      <c r="F909">
        <v>127</v>
      </c>
      <c r="G909">
        <v>128</v>
      </c>
      <c r="H909">
        <v>578</v>
      </c>
      <c r="I909" s="2">
        <v>22.145328719999998</v>
      </c>
      <c r="J909" cm="1">
        <f t="array" ref="J909">IF(AND(I909&gt;=0,I909&lt;=20),0,IF(AND(I909&gt;20,I909&lt;=40),1, IF(AND(I909&gt;40,I909&lt;=60),2,IF(AND(I909&gt;60,I909&lt;=80),3, IF(AND(I909&gt;80,I909&lt;=100),4,”5”)))))</f>
        <v>1</v>
      </c>
    </row>
    <row r="910" spans="1:10" x14ac:dyDescent="0.3">
      <c r="A910" t="str">
        <f t="shared" si="20"/>
        <v>59039_131</v>
      </c>
      <c r="B910">
        <f>VLOOKUP(C910,[1]lookuptable!$A$1:$C$7,2,0)</f>
        <v>59039</v>
      </c>
      <c r="C910" t="s">
        <v>16</v>
      </c>
      <c r="D910" s="1">
        <v>131</v>
      </c>
      <c r="E910">
        <v>0</v>
      </c>
      <c r="F910">
        <v>124</v>
      </c>
      <c r="G910">
        <v>124</v>
      </c>
      <c r="H910">
        <v>467</v>
      </c>
      <c r="I910" s="2">
        <v>26.55246253</v>
      </c>
      <c r="J910" cm="1">
        <f t="array" ref="J910">IF(AND(I910&gt;=0,I910&lt;=20),0,IF(AND(I910&gt;20,I910&lt;=40),1, IF(AND(I910&gt;40,I910&lt;=60),2,IF(AND(I910&gt;60,I910&lt;=80),3, IF(AND(I910&gt;80,I910&lt;=100),4,”5”)))))</f>
        <v>1</v>
      </c>
    </row>
    <row r="911" spans="1:10" x14ac:dyDescent="0.3">
      <c r="A911" t="str">
        <f t="shared" si="20"/>
        <v>59039_132</v>
      </c>
      <c r="B911">
        <f>VLOOKUP(C911,[1]lookuptable!$A$1:$C$7,2,0)</f>
        <v>59039</v>
      </c>
      <c r="C911" t="s">
        <v>16</v>
      </c>
      <c r="D911" s="1">
        <v>132</v>
      </c>
      <c r="E911">
        <v>1</v>
      </c>
      <c r="F911">
        <v>94</v>
      </c>
      <c r="G911">
        <v>95</v>
      </c>
      <c r="H911">
        <v>473</v>
      </c>
      <c r="I911" s="2">
        <v>20.084566599999999</v>
      </c>
      <c r="J911" cm="1">
        <f t="array" ref="J911">IF(AND(I911&gt;=0,I911&lt;=20),0,IF(AND(I911&gt;20,I911&lt;=40),1, IF(AND(I911&gt;40,I911&lt;=60),2,IF(AND(I911&gt;60,I911&lt;=80),3, IF(AND(I911&gt;80,I911&lt;=100),4,”5”)))))</f>
        <v>1</v>
      </c>
    </row>
    <row r="912" spans="1:10" x14ac:dyDescent="0.3">
      <c r="A912" t="str">
        <f t="shared" si="20"/>
        <v>59039_133</v>
      </c>
      <c r="B912">
        <f>VLOOKUP(C912,[1]lookuptable!$A$1:$C$7,2,0)</f>
        <v>59039</v>
      </c>
      <c r="C912" t="s">
        <v>16</v>
      </c>
      <c r="D912" s="1">
        <v>133</v>
      </c>
      <c r="E912">
        <v>0</v>
      </c>
      <c r="F912">
        <v>109</v>
      </c>
      <c r="G912">
        <v>109</v>
      </c>
      <c r="H912">
        <v>515</v>
      </c>
      <c r="I912" s="2">
        <v>21.165048540000001</v>
      </c>
      <c r="J912" cm="1">
        <f t="array" ref="J912">IF(AND(I912&gt;=0,I912&lt;=20),0,IF(AND(I912&gt;20,I912&lt;=40),1, IF(AND(I912&gt;40,I912&lt;=60),2,IF(AND(I912&gt;60,I912&lt;=80),3, IF(AND(I912&gt;80,I912&lt;=100),4,”5”)))))</f>
        <v>1</v>
      </c>
    </row>
    <row r="913" spans="1:10" x14ac:dyDescent="0.3">
      <c r="A913" t="str">
        <f t="shared" si="20"/>
        <v>59039_134</v>
      </c>
      <c r="B913">
        <f>VLOOKUP(C913,[1]lookuptable!$A$1:$C$7,2,0)</f>
        <v>59039</v>
      </c>
      <c r="C913" t="s">
        <v>16</v>
      </c>
      <c r="D913" s="1">
        <v>134</v>
      </c>
      <c r="E913">
        <v>0</v>
      </c>
      <c r="F913">
        <v>143</v>
      </c>
      <c r="G913">
        <v>143</v>
      </c>
      <c r="H913">
        <v>491</v>
      </c>
      <c r="I913" s="2">
        <v>29.124236249999999</v>
      </c>
      <c r="J913" cm="1">
        <f t="array" ref="J913">IF(AND(I913&gt;=0,I913&lt;=20),0,IF(AND(I913&gt;20,I913&lt;=40),1, IF(AND(I913&gt;40,I913&lt;=60),2,IF(AND(I913&gt;60,I913&lt;=80),3, IF(AND(I913&gt;80,I913&lt;=100),4,”5”)))))</f>
        <v>1</v>
      </c>
    </row>
    <row r="914" spans="1:10" x14ac:dyDescent="0.3">
      <c r="A914" t="str">
        <f t="shared" si="20"/>
        <v>59039_135</v>
      </c>
      <c r="B914">
        <f>VLOOKUP(C914,[1]lookuptable!$A$1:$C$7,2,0)</f>
        <v>59039</v>
      </c>
      <c r="C914" t="s">
        <v>16</v>
      </c>
      <c r="D914" s="1">
        <v>135</v>
      </c>
      <c r="E914">
        <v>3</v>
      </c>
      <c r="F914">
        <v>190</v>
      </c>
      <c r="G914">
        <v>193</v>
      </c>
      <c r="H914">
        <v>510</v>
      </c>
      <c r="I914" s="2">
        <v>37.843137249999998</v>
      </c>
      <c r="J914" cm="1">
        <f t="array" ref="J914">IF(AND(I914&gt;=0,I914&lt;=20),0,IF(AND(I914&gt;20,I914&lt;=40),1, IF(AND(I914&gt;40,I914&lt;=60),2,IF(AND(I914&gt;60,I914&lt;=80),3, IF(AND(I914&gt;80,I914&lt;=100),4,”5”)))))</f>
        <v>1</v>
      </c>
    </row>
    <row r="915" spans="1:10" x14ac:dyDescent="0.3">
      <c r="A915" t="str">
        <f t="shared" si="20"/>
        <v>59039_136</v>
      </c>
      <c r="B915">
        <f>VLOOKUP(C915,[1]lookuptable!$A$1:$C$7,2,0)</f>
        <v>59039</v>
      </c>
      <c r="C915" t="s">
        <v>16</v>
      </c>
      <c r="D915" s="1">
        <v>136</v>
      </c>
      <c r="E915">
        <v>2</v>
      </c>
      <c r="F915">
        <v>197</v>
      </c>
      <c r="G915">
        <v>199</v>
      </c>
      <c r="H915">
        <v>564</v>
      </c>
      <c r="I915" s="2">
        <v>35.28368794</v>
      </c>
      <c r="J915" cm="1">
        <f t="array" ref="J915">IF(AND(I915&gt;=0,I915&lt;=20),0,IF(AND(I915&gt;20,I915&lt;=40),1, IF(AND(I915&gt;40,I915&lt;=60),2,IF(AND(I915&gt;60,I915&lt;=80),3, IF(AND(I915&gt;80,I915&lt;=100),4,”5”)))))</f>
        <v>1</v>
      </c>
    </row>
    <row r="916" spans="1:10" x14ac:dyDescent="0.3">
      <c r="A916" t="str">
        <f t="shared" si="20"/>
        <v>59039_137</v>
      </c>
      <c r="B916">
        <f>VLOOKUP(C916,[1]lookuptable!$A$1:$C$7,2,0)</f>
        <v>59039</v>
      </c>
      <c r="C916" t="s">
        <v>16</v>
      </c>
      <c r="D916" s="1">
        <v>137</v>
      </c>
      <c r="E916">
        <v>0</v>
      </c>
      <c r="F916">
        <v>182</v>
      </c>
      <c r="G916">
        <v>182</v>
      </c>
      <c r="H916">
        <v>532</v>
      </c>
      <c r="I916" s="2">
        <v>34.21052632</v>
      </c>
      <c r="J916" cm="1">
        <f t="array" ref="J916">IF(AND(I916&gt;=0,I916&lt;=20),0,IF(AND(I916&gt;20,I916&lt;=40),1, IF(AND(I916&gt;40,I916&lt;=60),2,IF(AND(I916&gt;60,I916&lt;=80),3, IF(AND(I916&gt;80,I916&lt;=100),4,”5”)))))</f>
        <v>1</v>
      </c>
    </row>
    <row r="917" spans="1:10" x14ac:dyDescent="0.3">
      <c r="A917" t="str">
        <f t="shared" si="20"/>
        <v>59039_138</v>
      </c>
      <c r="B917">
        <f>VLOOKUP(C917,[1]lookuptable!$A$1:$C$7,2,0)</f>
        <v>59039</v>
      </c>
      <c r="C917" t="s">
        <v>16</v>
      </c>
      <c r="D917" s="1">
        <v>138</v>
      </c>
      <c r="E917">
        <v>0</v>
      </c>
      <c r="F917">
        <v>126</v>
      </c>
      <c r="G917">
        <v>126</v>
      </c>
      <c r="H917">
        <v>502</v>
      </c>
      <c r="I917" s="2">
        <v>25.099601589999999</v>
      </c>
      <c r="J917" cm="1">
        <f t="array" ref="J917">IF(AND(I917&gt;=0,I917&lt;=20),0,IF(AND(I917&gt;20,I917&lt;=40),1, IF(AND(I917&gt;40,I917&lt;=60),2,IF(AND(I917&gt;60,I917&lt;=80),3, IF(AND(I917&gt;80,I917&lt;=100),4,”5”)))))</f>
        <v>1</v>
      </c>
    </row>
    <row r="918" spans="1:10" x14ac:dyDescent="0.3">
      <c r="A918" t="str">
        <f t="shared" si="20"/>
        <v>59039_139</v>
      </c>
      <c r="B918">
        <f>VLOOKUP(C918,[1]lookuptable!$A$1:$C$7,2,0)</f>
        <v>59039</v>
      </c>
      <c r="C918" t="s">
        <v>16</v>
      </c>
      <c r="D918" s="1">
        <v>139</v>
      </c>
      <c r="E918">
        <v>0</v>
      </c>
      <c r="F918">
        <v>144</v>
      </c>
      <c r="G918">
        <v>144</v>
      </c>
      <c r="H918">
        <v>581</v>
      </c>
      <c r="I918" s="2">
        <v>24.784853699999999</v>
      </c>
      <c r="J918" cm="1">
        <f t="array" ref="J918">IF(AND(I918&gt;=0,I918&lt;=20),0,IF(AND(I918&gt;20,I918&lt;=40),1, IF(AND(I918&gt;40,I918&lt;=60),2,IF(AND(I918&gt;60,I918&lt;=80),3, IF(AND(I918&gt;80,I918&lt;=100),4,”5”)))))</f>
        <v>1</v>
      </c>
    </row>
    <row r="919" spans="1:10" x14ac:dyDescent="0.3">
      <c r="A919" t="str">
        <f t="shared" si="20"/>
        <v>59039_140</v>
      </c>
      <c r="B919">
        <f>VLOOKUP(C919,[1]lookuptable!$A$1:$C$7,2,0)</f>
        <v>59039</v>
      </c>
      <c r="C919" t="s">
        <v>16</v>
      </c>
      <c r="D919" s="1">
        <v>140</v>
      </c>
      <c r="E919">
        <v>1</v>
      </c>
      <c r="F919">
        <v>152</v>
      </c>
      <c r="G919">
        <v>153</v>
      </c>
      <c r="H919">
        <v>579</v>
      </c>
      <c r="I919" s="2">
        <v>26.424870469999998</v>
      </c>
      <c r="J919" cm="1">
        <f t="array" ref="J919">IF(AND(I919&gt;=0,I919&lt;=20),0,IF(AND(I919&gt;20,I919&lt;=40),1, IF(AND(I919&gt;40,I919&lt;=60),2,IF(AND(I919&gt;60,I919&lt;=80),3, IF(AND(I919&gt;80,I919&lt;=100),4,”5”)))))</f>
        <v>1</v>
      </c>
    </row>
    <row r="920" spans="1:10" x14ac:dyDescent="0.3">
      <c r="A920" t="str">
        <f t="shared" si="20"/>
        <v>59039_141</v>
      </c>
      <c r="B920">
        <f>VLOOKUP(C920,[1]lookuptable!$A$1:$C$7,2,0)</f>
        <v>59039</v>
      </c>
      <c r="C920" t="s">
        <v>16</v>
      </c>
      <c r="D920" s="1">
        <v>141</v>
      </c>
      <c r="E920">
        <v>0</v>
      </c>
      <c r="F920">
        <v>146</v>
      </c>
      <c r="G920">
        <v>146</v>
      </c>
      <c r="H920">
        <v>588</v>
      </c>
      <c r="I920" s="2">
        <v>24.829931970000001</v>
      </c>
      <c r="J920" cm="1">
        <f t="array" ref="J920">IF(AND(I920&gt;=0,I920&lt;=20),0,IF(AND(I920&gt;20,I920&lt;=40),1, IF(AND(I920&gt;40,I920&lt;=60),2,IF(AND(I920&gt;60,I920&lt;=80),3, IF(AND(I920&gt;80,I920&lt;=100),4,”5”)))))</f>
        <v>1</v>
      </c>
    </row>
    <row r="921" spans="1:10" x14ac:dyDescent="0.3">
      <c r="A921" t="str">
        <f t="shared" si="20"/>
        <v>59039_142</v>
      </c>
      <c r="B921">
        <f>VLOOKUP(C921,[1]lookuptable!$A$1:$C$7,2,0)</f>
        <v>59039</v>
      </c>
      <c r="C921" t="s">
        <v>16</v>
      </c>
      <c r="D921" s="1">
        <v>142</v>
      </c>
      <c r="E921">
        <v>0</v>
      </c>
      <c r="F921">
        <v>198</v>
      </c>
      <c r="G921">
        <v>198</v>
      </c>
      <c r="H921">
        <v>523</v>
      </c>
      <c r="I921" s="2">
        <v>37.8585086</v>
      </c>
      <c r="J921" cm="1">
        <f t="array" ref="J921">IF(AND(I921&gt;=0,I921&lt;=20),0,IF(AND(I921&gt;20,I921&lt;=40),1, IF(AND(I921&gt;40,I921&lt;=60),2,IF(AND(I921&gt;60,I921&lt;=80),3, IF(AND(I921&gt;80,I921&lt;=100),4,”5”)))))</f>
        <v>1</v>
      </c>
    </row>
    <row r="922" spans="1:10" x14ac:dyDescent="0.3">
      <c r="A922" t="str">
        <f t="shared" si="20"/>
        <v>59039_143</v>
      </c>
      <c r="B922">
        <f>VLOOKUP(C922,[1]lookuptable!$A$1:$C$7,2,0)</f>
        <v>59039</v>
      </c>
      <c r="C922" t="s">
        <v>16</v>
      </c>
      <c r="D922" s="1">
        <v>143</v>
      </c>
      <c r="E922">
        <v>2</v>
      </c>
      <c r="F922">
        <v>173</v>
      </c>
      <c r="G922">
        <v>175</v>
      </c>
      <c r="H922">
        <v>533</v>
      </c>
      <c r="I922" s="2">
        <v>32.833020640000001</v>
      </c>
      <c r="J922" cm="1">
        <f t="array" ref="J922">IF(AND(I922&gt;=0,I922&lt;=20),0,IF(AND(I922&gt;20,I922&lt;=40),1, IF(AND(I922&gt;40,I922&lt;=60),2,IF(AND(I922&gt;60,I922&lt;=80),3, IF(AND(I922&gt;80,I922&lt;=100),4,”5”)))))</f>
        <v>1</v>
      </c>
    </row>
    <row r="923" spans="1:10" x14ac:dyDescent="0.3">
      <c r="A923" t="str">
        <f t="shared" si="20"/>
        <v>59039_144</v>
      </c>
      <c r="B923">
        <f>VLOOKUP(C923,[1]lookuptable!$A$1:$C$7,2,0)</f>
        <v>59039</v>
      </c>
      <c r="C923" t="s">
        <v>16</v>
      </c>
      <c r="D923" s="1">
        <v>144</v>
      </c>
      <c r="E923">
        <v>0</v>
      </c>
      <c r="F923">
        <v>158</v>
      </c>
      <c r="G923">
        <v>158</v>
      </c>
      <c r="H923">
        <v>507</v>
      </c>
      <c r="I923" s="2">
        <v>31.16370809</v>
      </c>
      <c r="J923" cm="1">
        <f t="array" ref="J923">IF(AND(I923&gt;=0,I923&lt;=20),0,IF(AND(I923&gt;20,I923&lt;=40),1, IF(AND(I923&gt;40,I923&lt;=60),2,IF(AND(I923&gt;60,I923&lt;=80),3, IF(AND(I923&gt;80,I923&lt;=100),4,”5”)))))</f>
        <v>1</v>
      </c>
    </row>
    <row r="924" spans="1:10" x14ac:dyDescent="0.3">
      <c r="A924" t="str">
        <f t="shared" si="20"/>
        <v>59039_400</v>
      </c>
      <c r="B924">
        <f>VLOOKUP(C924,[1]lookuptable!$A$1:$C$7,2,0)</f>
        <v>59039</v>
      </c>
      <c r="C924" t="s">
        <v>16</v>
      </c>
      <c r="D924" s="1">
        <v>400</v>
      </c>
      <c r="E924">
        <v>0</v>
      </c>
      <c r="F924">
        <v>69</v>
      </c>
      <c r="G924">
        <v>69</v>
      </c>
      <c r="H924">
        <v>77</v>
      </c>
      <c r="I924" s="2">
        <v>89.610389609999999</v>
      </c>
      <c r="J924" cm="1">
        <f t="array" ref="J924">IF(AND(I924&gt;=0,I924&lt;=20),0,IF(AND(I924&gt;20,I924&lt;=40),1, IF(AND(I924&gt;40,I924&lt;=60),2,IF(AND(I924&gt;60,I924&lt;=80),3, IF(AND(I924&gt;80,I924&lt;=100),4,”5”)))))</f>
        <v>4</v>
      </c>
    </row>
    <row r="925" spans="1:10" x14ac:dyDescent="0.3">
      <c r="A925" t="str">
        <f t="shared" si="20"/>
        <v>59039_401</v>
      </c>
      <c r="B925">
        <f>VLOOKUP(C925,[1]lookuptable!$A$1:$C$7,2,0)</f>
        <v>59039</v>
      </c>
      <c r="C925" t="s">
        <v>16</v>
      </c>
      <c r="D925" s="1">
        <v>401</v>
      </c>
      <c r="E925">
        <v>0</v>
      </c>
      <c r="F925">
        <v>111</v>
      </c>
      <c r="G925">
        <v>111</v>
      </c>
      <c r="H925">
        <v>114</v>
      </c>
      <c r="I925" s="2">
        <v>97.368421049999995</v>
      </c>
      <c r="J925" cm="1">
        <f t="array" ref="J925">IF(AND(I925&gt;=0,I925&lt;=20),0,IF(AND(I925&gt;20,I925&lt;=40),1, IF(AND(I925&gt;40,I925&lt;=60),2,IF(AND(I925&gt;60,I925&lt;=80),3, IF(AND(I925&gt;80,I925&lt;=100),4,”5”)))))</f>
        <v>4</v>
      </c>
    </row>
    <row r="926" spans="1:10" x14ac:dyDescent="0.3">
      <c r="A926" t="str">
        <f t="shared" si="20"/>
        <v>59039_402</v>
      </c>
      <c r="B926">
        <f>VLOOKUP(C926,[1]lookuptable!$A$1:$C$7,2,0)</f>
        <v>59039</v>
      </c>
      <c r="C926" t="s">
        <v>16</v>
      </c>
      <c r="D926" s="1">
        <v>402</v>
      </c>
      <c r="E926">
        <v>5</v>
      </c>
      <c r="F926">
        <v>101</v>
      </c>
      <c r="G926">
        <v>106</v>
      </c>
      <c r="H926">
        <v>142</v>
      </c>
      <c r="I926" s="2">
        <v>74.647887319999995</v>
      </c>
      <c r="J926" cm="1">
        <f t="array" ref="J926">IF(AND(I926&gt;=0,I926&lt;=20),0,IF(AND(I926&gt;20,I926&lt;=40),1, IF(AND(I926&gt;40,I926&lt;=60),2,IF(AND(I926&gt;60,I926&lt;=80),3, IF(AND(I926&gt;80,I926&lt;=100),4,”5”)))))</f>
        <v>3</v>
      </c>
    </row>
    <row r="927" spans="1:10" x14ac:dyDescent="0.3">
      <c r="A927" t="str">
        <f t="shared" si="20"/>
        <v>59039_403</v>
      </c>
      <c r="B927">
        <f>VLOOKUP(C927,[1]lookuptable!$A$1:$C$7,2,0)</f>
        <v>59039</v>
      </c>
      <c r="C927" t="s">
        <v>16</v>
      </c>
      <c r="D927" s="1">
        <v>403</v>
      </c>
      <c r="E927">
        <v>1</v>
      </c>
      <c r="F927">
        <v>52</v>
      </c>
      <c r="G927">
        <v>53</v>
      </c>
      <c r="H927">
        <v>80</v>
      </c>
      <c r="I927" s="2">
        <v>66.25</v>
      </c>
      <c r="J927" cm="1">
        <f t="array" ref="J927">IF(AND(I927&gt;=0,I927&lt;=20),0,IF(AND(I927&gt;20,I927&lt;=40),1, IF(AND(I927&gt;40,I927&lt;=60),2,IF(AND(I927&gt;60,I927&lt;=80),3, IF(AND(I927&gt;80,I927&lt;=100),4,”5”)))))</f>
        <v>3</v>
      </c>
    </row>
    <row r="928" spans="1:10" x14ac:dyDescent="0.3">
      <c r="A928" t="str">
        <f t="shared" si="20"/>
        <v>59039_500</v>
      </c>
      <c r="B928">
        <f>VLOOKUP(C928,[1]lookuptable!$A$1:$C$7,2,0)</f>
        <v>59039</v>
      </c>
      <c r="C928" t="s">
        <v>16</v>
      </c>
      <c r="D928" s="1">
        <v>500</v>
      </c>
      <c r="E928">
        <v>1</v>
      </c>
      <c r="F928">
        <v>0</v>
      </c>
      <c r="G928">
        <v>0</v>
      </c>
      <c r="H928">
        <v>5</v>
      </c>
      <c r="I928" s="2">
        <f>((E928+G928)/H928)*100</f>
        <v>20</v>
      </c>
      <c r="J928" cm="1">
        <f t="array" ref="J928">IF(AND(I928&gt;=0,I928&lt;=20),0,IF(AND(I928&gt;20,I928&lt;=40),1, IF(AND(I928&gt;40,I928&lt;=60),2,IF(AND(I928&gt;60,I928&lt;=80),3, IF(AND(I928&gt;80,I928&lt;=100),4,”5”)))))</f>
        <v>0</v>
      </c>
    </row>
    <row r="929" spans="1:10" x14ac:dyDescent="0.3">
      <c r="A929" t="str">
        <f t="shared" si="20"/>
        <v>59039_502</v>
      </c>
      <c r="B929">
        <f>VLOOKUP(C929,[1]lookuptable!$A$1:$C$7,2,0)</f>
        <v>59039</v>
      </c>
      <c r="C929" t="s">
        <v>16</v>
      </c>
      <c r="D929" s="1">
        <v>502</v>
      </c>
      <c r="E929">
        <v>0</v>
      </c>
      <c r="F929">
        <v>72</v>
      </c>
      <c r="G929">
        <v>72</v>
      </c>
      <c r="H929">
        <v>79</v>
      </c>
      <c r="I929" s="2">
        <v>91.139240509999993</v>
      </c>
      <c r="J929" cm="1">
        <f t="array" ref="J929">IF(AND(I929&gt;=0,I929&lt;=20),0,IF(AND(I929&gt;20,I929&lt;=40),1, IF(AND(I929&gt;40,I929&lt;=60),2,IF(AND(I929&gt;60,I929&lt;=80),3, IF(AND(I929&gt;80,I929&lt;=100),4,”5”)))))</f>
        <v>4</v>
      </c>
    </row>
    <row r="930" spans="1:10" x14ac:dyDescent="0.3">
      <c r="A930" t="str">
        <f t="shared" si="20"/>
        <v>59039_506</v>
      </c>
      <c r="B930">
        <f>VLOOKUP(C930,[1]lookuptable!$A$1:$C$7,2,0)</f>
        <v>59039</v>
      </c>
      <c r="C930" t="s">
        <v>16</v>
      </c>
      <c r="D930" s="1">
        <v>506</v>
      </c>
      <c r="E930">
        <v>0</v>
      </c>
      <c r="F930">
        <v>88</v>
      </c>
      <c r="G930">
        <v>88</v>
      </c>
      <c r="H930">
        <v>132</v>
      </c>
      <c r="I930" s="2">
        <v>66.666666669999998</v>
      </c>
      <c r="J930" cm="1">
        <f t="array" ref="J930">IF(AND(I930&gt;=0,I930&lt;=20),0,IF(AND(I930&gt;20,I930&lt;=40),1, IF(AND(I930&gt;40,I930&lt;=60),2,IF(AND(I930&gt;60,I930&lt;=80),3, IF(AND(I930&gt;80,I930&lt;=100),4,”5”)))))</f>
        <v>3</v>
      </c>
    </row>
    <row r="931" spans="1:10" x14ac:dyDescent="0.3">
      <c r="A931" t="str">
        <f t="shared" si="20"/>
        <v>59040_1</v>
      </c>
      <c r="B931">
        <f>VLOOKUP(C931,[1]lookuptable!$A$1:$C$7,2,0)</f>
        <v>59040</v>
      </c>
      <c r="C931" t="s">
        <v>19</v>
      </c>
      <c r="D931" s="1">
        <v>1</v>
      </c>
      <c r="E931">
        <v>0</v>
      </c>
      <c r="F931">
        <v>147</v>
      </c>
      <c r="G931">
        <v>147</v>
      </c>
      <c r="H931">
        <v>435</v>
      </c>
      <c r="I931" s="2">
        <v>33.793103449999997</v>
      </c>
      <c r="J931" cm="1">
        <f t="array" ref="J931">IF(AND(I931&gt;=0,I931&lt;=20),0,IF(AND(I931&gt;20,I931&lt;=40),1, IF(AND(I931&gt;40,I931&lt;=60),2,IF(AND(I931&gt;60,I931&lt;=80),3, IF(AND(I931&gt;80,I931&lt;=100),4,”5”)))))</f>
        <v>1</v>
      </c>
    </row>
    <row r="932" spans="1:10" x14ac:dyDescent="0.3">
      <c r="A932" t="str">
        <f t="shared" si="20"/>
        <v>59040_2</v>
      </c>
      <c r="B932">
        <f>VLOOKUP(C932,[1]lookuptable!$A$1:$C$7,2,0)</f>
        <v>59040</v>
      </c>
      <c r="C932" t="s">
        <v>19</v>
      </c>
      <c r="D932" s="1">
        <v>2</v>
      </c>
      <c r="E932">
        <v>4</v>
      </c>
      <c r="F932">
        <v>193</v>
      </c>
      <c r="G932">
        <v>197</v>
      </c>
      <c r="H932">
        <v>411</v>
      </c>
      <c r="I932" s="2">
        <v>47.93187348</v>
      </c>
      <c r="J932" cm="1">
        <f t="array" ref="J932">IF(AND(I932&gt;=0,I932&lt;=20),0,IF(AND(I932&gt;20,I932&lt;=40),1, IF(AND(I932&gt;40,I932&lt;=60),2,IF(AND(I932&gt;60,I932&lt;=80),3, IF(AND(I932&gt;80,I932&lt;=100),4,”5”)))))</f>
        <v>2</v>
      </c>
    </row>
    <row r="933" spans="1:10" x14ac:dyDescent="0.3">
      <c r="A933" t="str">
        <f t="shared" si="20"/>
        <v>59040_3</v>
      </c>
      <c r="B933">
        <f>VLOOKUP(C933,[1]lookuptable!$A$1:$C$7,2,0)</f>
        <v>59040</v>
      </c>
      <c r="C933" t="s">
        <v>19</v>
      </c>
      <c r="D933" s="1">
        <v>3</v>
      </c>
      <c r="E933">
        <v>1</v>
      </c>
      <c r="F933">
        <v>124</v>
      </c>
      <c r="G933">
        <v>125</v>
      </c>
      <c r="H933">
        <v>433</v>
      </c>
      <c r="I933" s="2">
        <v>28.868360280000001</v>
      </c>
      <c r="J933" cm="1">
        <f t="array" ref="J933">IF(AND(I933&gt;=0,I933&lt;=20),0,IF(AND(I933&gt;20,I933&lt;=40),1, IF(AND(I933&gt;40,I933&lt;=60),2,IF(AND(I933&gt;60,I933&lt;=80),3, IF(AND(I933&gt;80,I933&lt;=100),4,”5”)))))</f>
        <v>1</v>
      </c>
    </row>
    <row r="934" spans="1:10" x14ac:dyDescent="0.3">
      <c r="A934" t="str">
        <f t="shared" si="20"/>
        <v>59040_4</v>
      </c>
      <c r="B934">
        <f>VLOOKUP(C934,[1]lookuptable!$A$1:$C$7,2,0)</f>
        <v>59040</v>
      </c>
      <c r="C934" t="s">
        <v>19</v>
      </c>
      <c r="D934" s="1">
        <v>4</v>
      </c>
      <c r="E934">
        <v>1</v>
      </c>
      <c r="F934">
        <v>114</v>
      </c>
      <c r="G934">
        <v>115</v>
      </c>
      <c r="H934">
        <v>385</v>
      </c>
      <c r="I934" s="2">
        <v>29.87012987</v>
      </c>
      <c r="J934" cm="1">
        <f t="array" ref="J934">IF(AND(I934&gt;=0,I934&lt;=20),0,IF(AND(I934&gt;20,I934&lt;=40),1, IF(AND(I934&gt;40,I934&lt;=60),2,IF(AND(I934&gt;60,I934&lt;=80),3, IF(AND(I934&gt;80,I934&lt;=100),4,”5”)))))</f>
        <v>1</v>
      </c>
    </row>
    <row r="935" spans="1:10" x14ac:dyDescent="0.3">
      <c r="A935" t="str">
        <f t="shared" si="20"/>
        <v>59040_5</v>
      </c>
      <c r="B935">
        <f>VLOOKUP(C935,[1]lookuptable!$A$1:$C$7,2,0)</f>
        <v>59040</v>
      </c>
      <c r="C935" t="s">
        <v>19</v>
      </c>
      <c r="D935" s="1">
        <v>5</v>
      </c>
      <c r="E935">
        <v>0</v>
      </c>
      <c r="F935">
        <v>175</v>
      </c>
      <c r="G935">
        <v>175</v>
      </c>
      <c r="H935">
        <v>439</v>
      </c>
      <c r="I935" s="2">
        <v>39.863325740000001</v>
      </c>
      <c r="J935" cm="1">
        <f t="array" ref="J935">IF(AND(I935&gt;=0,I935&lt;=20),0,IF(AND(I935&gt;20,I935&lt;=40),1, IF(AND(I935&gt;40,I935&lt;=60),2,IF(AND(I935&gt;60,I935&lt;=80),3, IF(AND(I935&gt;80,I935&lt;=100),4,”5”)))))</f>
        <v>1</v>
      </c>
    </row>
    <row r="936" spans="1:10" x14ac:dyDescent="0.3">
      <c r="A936" t="str">
        <f t="shared" si="20"/>
        <v>59040_6</v>
      </c>
      <c r="B936">
        <f>VLOOKUP(C936,[1]lookuptable!$A$1:$C$7,2,0)</f>
        <v>59040</v>
      </c>
      <c r="C936" t="s">
        <v>19</v>
      </c>
      <c r="D936" s="1">
        <v>6</v>
      </c>
      <c r="E936">
        <v>0</v>
      </c>
      <c r="F936">
        <v>78</v>
      </c>
      <c r="G936">
        <v>78</v>
      </c>
      <c r="H936">
        <v>414</v>
      </c>
      <c r="I936" s="2">
        <v>18.84057971</v>
      </c>
      <c r="J936" cm="1">
        <f t="array" ref="J936">IF(AND(I936&gt;=0,I936&lt;=20),0,IF(AND(I936&gt;20,I936&lt;=40),1, IF(AND(I936&gt;40,I936&lt;=60),2,IF(AND(I936&gt;60,I936&lt;=80),3, IF(AND(I936&gt;80,I936&lt;=100),4,”5”)))))</f>
        <v>0</v>
      </c>
    </row>
    <row r="937" spans="1:10" x14ac:dyDescent="0.3">
      <c r="A937" t="str">
        <f t="shared" si="20"/>
        <v>59040_7</v>
      </c>
      <c r="B937">
        <f>VLOOKUP(C937,[1]lookuptable!$A$1:$C$7,2,0)</f>
        <v>59040</v>
      </c>
      <c r="C937" t="s">
        <v>19</v>
      </c>
      <c r="D937" s="1">
        <v>7</v>
      </c>
      <c r="E937">
        <v>3</v>
      </c>
      <c r="F937">
        <v>139</v>
      </c>
      <c r="G937">
        <v>142</v>
      </c>
      <c r="H937">
        <v>423</v>
      </c>
      <c r="I937" s="2">
        <v>33.569739949999999</v>
      </c>
      <c r="J937" cm="1">
        <f t="array" ref="J937">IF(AND(I937&gt;=0,I937&lt;=20),0,IF(AND(I937&gt;20,I937&lt;=40),1, IF(AND(I937&gt;40,I937&lt;=60),2,IF(AND(I937&gt;60,I937&lt;=80),3, IF(AND(I937&gt;80,I937&lt;=100),4,”5”)))))</f>
        <v>1</v>
      </c>
    </row>
    <row r="938" spans="1:10" x14ac:dyDescent="0.3">
      <c r="A938" t="str">
        <f t="shared" si="20"/>
        <v>59040_8</v>
      </c>
      <c r="B938">
        <f>VLOOKUP(C938,[1]lookuptable!$A$1:$C$7,2,0)</f>
        <v>59040</v>
      </c>
      <c r="C938" t="s">
        <v>19</v>
      </c>
      <c r="D938" s="1">
        <v>8</v>
      </c>
      <c r="E938">
        <v>3</v>
      </c>
      <c r="F938">
        <v>207</v>
      </c>
      <c r="G938">
        <v>210</v>
      </c>
      <c r="H938">
        <v>495</v>
      </c>
      <c r="I938" s="2">
        <v>42.424242419999999</v>
      </c>
      <c r="J938" cm="1">
        <f t="array" ref="J938">IF(AND(I938&gt;=0,I938&lt;=20),0,IF(AND(I938&gt;20,I938&lt;=40),1, IF(AND(I938&gt;40,I938&lt;=60),2,IF(AND(I938&gt;60,I938&lt;=80),3, IF(AND(I938&gt;80,I938&lt;=100),4,”5”)))))</f>
        <v>2</v>
      </c>
    </row>
    <row r="939" spans="1:10" x14ac:dyDescent="0.3">
      <c r="A939" t="str">
        <f t="shared" si="20"/>
        <v>59040_9</v>
      </c>
      <c r="B939">
        <f>VLOOKUP(C939,[1]lookuptable!$A$1:$C$7,2,0)</f>
        <v>59040</v>
      </c>
      <c r="C939" t="s">
        <v>19</v>
      </c>
      <c r="D939" s="1">
        <v>9</v>
      </c>
      <c r="E939">
        <v>2</v>
      </c>
      <c r="F939">
        <v>112</v>
      </c>
      <c r="G939">
        <v>114</v>
      </c>
      <c r="H939">
        <v>407</v>
      </c>
      <c r="I939" s="2">
        <v>28.00982801</v>
      </c>
      <c r="J939" cm="1">
        <f t="array" ref="J939">IF(AND(I939&gt;=0,I939&lt;=20),0,IF(AND(I939&gt;20,I939&lt;=40),1, IF(AND(I939&gt;40,I939&lt;=60),2,IF(AND(I939&gt;60,I939&lt;=80),3, IF(AND(I939&gt;80,I939&lt;=100),4,”5”)))))</f>
        <v>1</v>
      </c>
    </row>
    <row r="940" spans="1:10" x14ac:dyDescent="0.3">
      <c r="A940" t="str">
        <f t="shared" si="20"/>
        <v>59040_10</v>
      </c>
      <c r="B940">
        <f>VLOOKUP(C940,[1]lookuptable!$A$1:$C$7,2,0)</f>
        <v>59040</v>
      </c>
      <c r="C940" t="s">
        <v>19</v>
      </c>
      <c r="D940" s="1">
        <v>10</v>
      </c>
      <c r="E940">
        <v>0</v>
      </c>
      <c r="F940">
        <v>238</v>
      </c>
      <c r="G940">
        <v>238</v>
      </c>
      <c r="H940">
        <v>574</v>
      </c>
      <c r="I940" s="2">
        <v>41.463414630000003</v>
      </c>
      <c r="J940" cm="1">
        <f t="array" ref="J940">IF(AND(I940&gt;=0,I940&lt;=20),0,IF(AND(I940&gt;20,I940&lt;=40),1, IF(AND(I940&gt;40,I940&lt;=60),2,IF(AND(I940&gt;60,I940&lt;=80),3, IF(AND(I940&gt;80,I940&lt;=100),4,”5”)))))</f>
        <v>2</v>
      </c>
    </row>
    <row r="941" spans="1:10" x14ac:dyDescent="0.3">
      <c r="A941" t="str">
        <f t="shared" si="20"/>
        <v>59040_11</v>
      </c>
      <c r="B941">
        <f>VLOOKUP(C941,[1]lookuptable!$A$1:$C$7,2,0)</f>
        <v>59040</v>
      </c>
      <c r="C941" t="s">
        <v>19</v>
      </c>
      <c r="D941" s="1">
        <v>11</v>
      </c>
      <c r="E941">
        <v>0</v>
      </c>
      <c r="F941">
        <v>119</v>
      </c>
      <c r="G941">
        <v>119</v>
      </c>
      <c r="H941">
        <v>401</v>
      </c>
      <c r="I941" s="2">
        <v>29.675810469999998</v>
      </c>
      <c r="J941" cm="1">
        <f t="array" ref="J941">IF(AND(I941&gt;=0,I941&lt;=20),0,IF(AND(I941&gt;20,I941&lt;=40),1, IF(AND(I941&gt;40,I941&lt;=60),2,IF(AND(I941&gt;60,I941&lt;=80),3, IF(AND(I941&gt;80,I941&lt;=100),4,”5”)))))</f>
        <v>1</v>
      </c>
    </row>
    <row r="942" spans="1:10" x14ac:dyDescent="0.3">
      <c r="A942" t="str">
        <f t="shared" si="20"/>
        <v>59040_12</v>
      </c>
      <c r="B942">
        <f>VLOOKUP(C942,[1]lookuptable!$A$1:$C$7,2,0)</f>
        <v>59040</v>
      </c>
      <c r="C942" t="s">
        <v>19</v>
      </c>
      <c r="D942" s="1">
        <v>12</v>
      </c>
      <c r="E942">
        <v>0</v>
      </c>
      <c r="F942">
        <v>177</v>
      </c>
      <c r="G942">
        <v>177</v>
      </c>
      <c r="H942">
        <v>433</v>
      </c>
      <c r="I942" s="2">
        <v>40.877598149999997</v>
      </c>
      <c r="J942" cm="1">
        <f t="array" ref="J942">IF(AND(I942&gt;=0,I942&lt;=20),0,IF(AND(I942&gt;20,I942&lt;=40),1, IF(AND(I942&gt;40,I942&lt;=60),2,IF(AND(I942&gt;60,I942&lt;=80),3, IF(AND(I942&gt;80,I942&lt;=100),4,”5”)))))</f>
        <v>2</v>
      </c>
    </row>
    <row r="943" spans="1:10" x14ac:dyDescent="0.3">
      <c r="A943" t="str">
        <f t="shared" si="20"/>
        <v>59040_13</v>
      </c>
      <c r="B943">
        <f>VLOOKUP(C943,[1]lookuptable!$A$1:$C$7,2,0)</f>
        <v>59040</v>
      </c>
      <c r="C943" t="s">
        <v>19</v>
      </c>
      <c r="D943" s="1">
        <v>13</v>
      </c>
      <c r="E943">
        <v>4</v>
      </c>
      <c r="F943">
        <v>171</v>
      </c>
      <c r="G943">
        <v>175</v>
      </c>
      <c r="H943">
        <v>440</v>
      </c>
      <c r="I943" s="2">
        <v>39.772727269999997</v>
      </c>
      <c r="J943" cm="1">
        <f t="array" ref="J943">IF(AND(I943&gt;=0,I943&lt;=20),0,IF(AND(I943&gt;20,I943&lt;=40),1, IF(AND(I943&gt;40,I943&lt;=60),2,IF(AND(I943&gt;60,I943&lt;=80),3, IF(AND(I943&gt;80,I943&lt;=100),4,”5”)))))</f>
        <v>1</v>
      </c>
    </row>
    <row r="944" spans="1:10" x14ac:dyDescent="0.3">
      <c r="A944" t="str">
        <f t="shared" si="20"/>
        <v>59040_14</v>
      </c>
      <c r="B944">
        <f>VLOOKUP(C944,[1]lookuptable!$A$1:$C$7,2,0)</f>
        <v>59040</v>
      </c>
      <c r="C944" t="s">
        <v>19</v>
      </c>
      <c r="D944" s="1">
        <v>14</v>
      </c>
      <c r="E944">
        <v>2</v>
      </c>
      <c r="F944">
        <v>106</v>
      </c>
      <c r="G944">
        <v>108</v>
      </c>
      <c r="H944">
        <v>377</v>
      </c>
      <c r="I944" s="2">
        <v>28.647214850000001</v>
      </c>
      <c r="J944" cm="1">
        <f t="array" ref="J944">IF(AND(I944&gt;=0,I944&lt;=20),0,IF(AND(I944&gt;20,I944&lt;=40),1, IF(AND(I944&gt;40,I944&lt;=60),2,IF(AND(I944&gt;60,I944&lt;=80),3, IF(AND(I944&gt;80,I944&lt;=100),4,”5”)))))</f>
        <v>1</v>
      </c>
    </row>
    <row r="945" spans="1:10" x14ac:dyDescent="0.3">
      <c r="A945" t="str">
        <f t="shared" si="20"/>
        <v>59040_15</v>
      </c>
      <c r="B945">
        <f>VLOOKUP(C945,[1]lookuptable!$A$1:$C$7,2,0)</f>
        <v>59040</v>
      </c>
      <c r="C945" t="s">
        <v>19</v>
      </c>
      <c r="D945" s="1">
        <v>15</v>
      </c>
      <c r="E945">
        <v>0</v>
      </c>
      <c r="F945">
        <v>121</v>
      </c>
      <c r="G945">
        <v>121</v>
      </c>
      <c r="H945">
        <v>418</v>
      </c>
      <c r="I945" s="2">
        <v>28.94736842</v>
      </c>
      <c r="J945" cm="1">
        <f t="array" ref="J945">IF(AND(I945&gt;=0,I945&lt;=20),0,IF(AND(I945&gt;20,I945&lt;=40),1, IF(AND(I945&gt;40,I945&lt;=60),2,IF(AND(I945&gt;60,I945&lt;=80),3, IF(AND(I945&gt;80,I945&lt;=100),4,”5”)))))</f>
        <v>1</v>
      </c>
    </row>
    <row r="946" spans="1:10" x14ac:dyDescent="0.3">
      <c r="A946" t="str">
        <f t="shared" si="20"/>
        <v>59040_16</v>
      </c>
      <c r="B946">
        <f>VLOOKUP(C946,[1]lookuptable!$A$1:$C$7,2,0)</f>
        <v>59040</v>
      </c>
      <c r="C946" t="s">
        <v>19</v>
      </c>
      <c r="D946" s="1">
        <v>16</v>
      </c>
      <c r="E946">
        <v>2</v>
      </c>
      <c r="F946">
        <v>115</v>
      </c>
      <c r="G946">
        <v>117</v>
      </c>
      <c r="H946">
        <v>439</v>
      </c>
      <c r="I946" s="2">
        <v>26.651480639999999</v>
      </c>
      <c r="J946" cm="1">
        <f t="array" ref="J946">IF(AND(I946&gt;=0,I946&lt;=20),0,IF(AND(I946&gt;20,I946&lt;=40),1, IF(AND(I946&gt;40,I946&lt;=60),2,IF(AND(I946&gt;60,I946&lt;=80),3, IF(AND(I946&gt;80,I946&lt;=100),4,”5”)))))</f>
        <v>1</v>
      </c>
    </row>
    <row r="947" spans="1:10" x14ac:dyDescent="0.3">
      <c r="A947" t="str">
        <f t="shared" si="20"/>
        <v>59040_17</v>
      </c>
      <c r="B947">
        <f>VLOOKUP(C947,[1]lookuptable!$A$1:$C$7,2,0)</f>
        <v>59040</v>
      </c>
      <c r="C947" t="s">
        <v>19</v>
      </c>
      <c r="D947" s="1">
        <v>17</v>
      </c>
      <c r="E947">
        <v>0</v>
      </c>
      <c r="F947">
        <v>106</v>
      </c>
      <c r="G947">
        <v>106</v>
      </c>
      <c r="H947">
        <v>480</v>
      </c>
      <c r="I947" s="2">
        <v>22.083333329999999</v>
      </c>
      <c r="J947" cm="1">
        <f t="array" ref="J947">IF(AND(I947&gt;=0,I947&lt;=20),0,IF(AND(I947&gt;20,I947&lt;=40),1, IF(AND(I947&gt;40,I947&lt;=60),2,IF(AND(I947&gt;60,I947&lt;=80),3, IF(AND(I947&gt;80,I947&lt;=100),4,”5”)))))</f>
        <v>1</v>
      </c>
    </row>
    <row r="948" spans="1:10" x14ac:dyDescent="0.3">
      <c r="A948" t="str">
        <f t="shared" si="20"/>
        <v>59040_18</v>
      </c>
      <c r="B948">
        <f>VLOOKUP(C948,[1]lookuptable!$A$1:$C$7,2,0)</f>
        <v>59040</v>
      </c>
      <c r="C948" t="s">
        <v>19</v>
      </c>
      <c r="D948" s="1">
        <v>18</v>
      </c>
      <c r="E948">
        <v>0</v>
      </c>
      <c r="F948">
        <v>110</v>
      </c>
      <c r="G948">
        <v>110</v>
      </c>
      <c r="H948">
        <v>414</v>
      </c>
      <c r="I948" s="2">
        <v>26.570048310000001</v>
      </c>
      <c r="J948" cm="1">
        <f t="array" ref="J948">IF(AND(I948&gt;=0,I948&lt;=20),0,IF(AND(I948&gt;20,I948&lt;=40),1, IF(AND(I948&gt;40,I948&lt;=60),2,IF(AND(I948&gt;60,I948&lt;=80),3, IF(AND(I948&gt;80,I948&lt;=100),4,”5”)))))</f>
        <v>1</v>
      </c>
    </row>
    <row r="949" spans="1:10" x14ac:dyDescent="0.3">
      <c r="A949" t="str">
        <f t="shared" si="20"/>
        <v>59040_19</v>
      </c>
      <c r="B949">
        <f>VLOOKUP(C949,[1]lookuptable!$A$1:$C$7,2,0)</f>
        <v>59040</v>
      </c>
      <c r="C949" t="s">
        <v>19</v>
      </c>
      <c r="D949" s="1">
        <v>19</v>
      </c>
      <c r="E949">
        <v>3</v>
      </c>
      <c r="F949">
        <v>118</v>
      </c>
      <c r="G949">
        <v>121</v>
      </c>
      <c r="H949">
        <v>475</v>
      </c>
      <c r="I949" s="2">
        <v>25.473684209999998</v>
      </c>
      <c r="J949" cm="1">
        <f t="array" ref="J949">IF(AND(I949&gt;=0,I949&lt;=20),0,IF(AND(I949&gt;20,I949&lt;=40),1, IF(AND(I949&gt;40,I949&lt;=60),2,IF(AND(I949&gt;60,I949&lt;=80),3, IF(AND(I949&gt;80,I949&lt;=100),4,”5”)))))</f>
        <v>1</v>
      </c>
    </row>
    <row r="950" spans="1:10" x14ac:dyDescent="0.3">
      <c r="A950" t="str">
        <f t="shared" si="20"/>
        <v>59040_20</v>
      </c>
      <c r="B950">
        <f>VLOOKUP(C950,[1]lookuptable!$A$1:$C$7,2,0)</f>
        <v>59040</v>
      </c>
      <c r="C950" t="s">
        <v>19</v>
      </c>
      <c r="D950" s="1">
        <v>20</v>
      </c>
      <c r="E950">
        <v>1</v>
      </c>
      <c r="F950">
        <v>144</v>
      </c>
      <c r="G950">
        <v>145</v>
      </c>
      <c r="H950">
        <v>480</v>
      </c>
      <c r="I950" s="2">
        <v>30.208333329999999</v>
      </c>
      <c r="J950" cm="1">
        <f t="array" ref="J950">IF(AND(I950&gt;=0,I950&lt;=20),0,IF(AND(I950&gt;20,I950&lt;=40),1, IF(AND(I950&gt;40,I950&lt;=60),2,IF(AND(I950&gt;60,I950&lt;=80),3, IF(AND(I950&gt;80,I950&lt;=100),4,”5”)))))</f>
        <v>1</v>
      </c>
    </row>
    <row r="951" spans="1:10" x14ac:dyDescent="0.3">
      <c r="A951" t="str">
        <f t="shared" si="20"/>
        <v>59040_21</v>
      </c>
      <c r="B951">
        <f>VLOOKUP(C951,[1]lookuptable!$A$1:$C$7,2,0)</f>
        <v>59040</v>
      </c>
      <c r="C951" t="s">
        <v>19</v>
      </c>
      <c r="D951" s="1">
        <v>21</v>
      </c>
      <c r="E951">
        <v>0</v>
      </c>
      <c r="F951">
        <v>101</v>
      </c>
      <c r="G951">
        <v>101</v>
      </c>
      <c r="H951">
        <v>349</v>
      </c>
      <c r="I951" s="2">
        <v>28.939828080000002</v>
      </c>
      <c r="J951" cm="1">
        <f t="array" ref="J951">IF(AND(I951&gt;=0,I951&lt;=20),0,IF(AND(I951&gt;20,I951&lt;=40),1, IF(AND(I951&gt;40,I951&lt;=60),2,IF(AND(I951&gt;60,I951&lt;=80),3, IF(AND(I951&gt;80,I951&lt;=100),4,”5”)))))</f>
        <v>1</v>
      </c>
    </row>
    <row r="952" spans="1:10" x14ac:dyDescent="0.3">
      <c r="A952" t="str">
        <f t="shared" si="20"/>
        <v>59040_22</v>
      </c>
      <c r="B952">
        <f>VLOOKUP(C952,[1]lookuptable!$A$1:$C$7,2,0)</f>
        <v>59040</v>
      </c>
      <c r="C952" t="s">
        <v>19</v>
      </c>
      <c r="D952" s="1">
        <v>22</v>
      </c>
      <c r="E952">
        <v>6</v>
      </c>
      <c r="F952">
        <v>107</v>
      </c>
      <c r="G952">
        <v>113</v>
      </c>
      <c r="H952">
        <v>472</v>
      </c>
      <c r="I952" s="2">
        <v>23.940677969999999</v>
      </c>
      <c r="J952" cm="1">
        <f t="array" ref="J952">IF(AND(I952&gt;=0,I952&lt;=20),0,IF(AND(I952&gt;20,I952&lt;=40),1, IF(AND(I952&gt;40,I952&lt;=60),2,IF(AND(I952&gt;60,I952&lt;=80),3, IF(AND(I952&gt;80,I952&lt;=100),4,”5”)))))</f>
        <v>1</v>
      </c>
    </row>
    <row r="953" spans="1:10" x14ac:dyDescent="0.3">
      <c r="A953" t="str">
        <f t="shared" si="20"/>
        <v>59040_23</v>
      </c>
      <c r="B953">
        <f>VLOOKUP(C953,[1]lookuptable!$A$1:$C$7,2,0)</f>
        <v>59040</v>
      </c>
      <c r="C953" t="s">
        <v>19</v>
      </c>
      <c r="D953" s="1">
        <v>23</v>
      </c>
      <c r="E953">
        <v>1</v>
      </c>
      <c r="F953">
        <v>136</v>
      </c>
      <c r="G953">
        <v>137</v>
      </c>
      <c r="H953">
        <v>426</v>
      </c>
      <c r="I953" s="2">
        <v>32.159624409999999</v>
      </c>
      <c r="J953" cm="1">
        <f t="array" ref="J953">IF(AND(I953&gt;=0,I953&lt;=20),0,IF(AND(I953&gt;20,I953&lt;=40),1, IF(AND(I953&gt;40,I953&lt;=60),2,IF(AND(I953&gt;60,I953&lt;=80),3, IF(AND(I953&gt;80,I953&lt;=100),4,”5”)))))</f>
        <v>1</v>
      </c>
    </row>
    <row r="954" spans="1:10" x14ac:dyDescent="0.3">
      <c r="A954" t="str">
        <f t="shared" si="20"/>
        <v>59040_24</v>
      </c>
      <c r="B954">
        <f>VLOOKUP(C954,[1]lookuptable!$A$1:$C$7,2,0)</f>
        <v>59040</v>
      </c>
      <c r="C954" t="s">
        <v>19</v>
      </c>
      <c r="D954" s="1">
        <v>24</v>
      </c>
      <c r="E954">
        <v>3</v>
      </c>
      <c r="F954">
        <v>149</v>
      </c>
      <c r="G954">
        <v>152</v>
      </c>
      <c r="H954">
        <v>413</v>
      </c>
      <c r="I954" s="2">
        <v>36.803874090000001</v>
      </c>
      <c r="J954" cm="1">
        <f t="array" ref="J954">IF(AND(I954&gt;=0,I954&lt;=20),0,IF(AND(I954&gt;20,I954&lt;=40),1, IF(AND(I954&gt;40,I954&lt;=60),2,IF(AND(I954&gt;60,I954&lt;=80),3, IF(AND(I954&gt;80,I954&lt;=100),4,”5”)))))</f>
        <v>1</v>
      </c>
    </row>
    <row r="955" spans="1:10" x14ac:dyDescent="0.3">
      <c r="A955" t="str">
        <f t="shared" si="20"/>
        <v>59040_25</v>
      </c>
      <c r="B955">
        <f>VLOOKUP(C955,[1]lookuptable!$A$1:$C$7,2,0)</f>
        <v>59040</v>
      </c>
      <c r="C955" t="s">
        <v>19</v>
      </c>
      <c r="D955" s="1">
        <v>25</v>
      </c>
      <c r="E955">
        <v>0</v>
      </c>
      <c r="F955">
        <v>116</v>
      </c>
      <c r="G955">
        <v>116</v>
      </c>
      <c r="H955">
        <v>397</v>
      </c>
      <c r="I955" s="2">
        <v>29.219143580000001</v>
      </c>
      <c r="J955" cm="1">
        <f t="array" ref="J955">IF(AND(I955&gt;=0,I955&lt;=20),0,IF(AND(I955&gt;20,I955&lt;=40),1, IF(AND(I955&gt;40,I955&lt;=60),2,IF(AND(I955&gt;60,I955&lt;=80),3, IF(AND(I955&gt;80,I955&lt;=100),4,”5”)))))</f>
        <v>1</v>
      </c>
    </row>
    <row r="956" spans="1:10" x14ac:dyDescent="0.3">
      <c r="A956" t="str">
        <f t="shared" si="20"/>
        <v>59040_26</v>
      </c>
      <c r="B956">
        <f>VLOOKUP(C956,[1]lookuptable!$A$1:$C$7,2,0)</f>
        <v>59040</v>
      </c>
      <c r="C956" t="s">
        <v>19</v>
      </c>
      <c r="D956" s="1">
        <v>26</v>
      </c>
      <c r="E956">
        <v>4</v>
      </c>
      <c r="F956">
        <v>119</v>
      </c>
      <c r="G956">
        <v>123</v>
      </c>
      <c r="H956">
        <v>435</v>
      </c>
      <c r="I956" s="2">
        <v>28.275862069999999</v>
      </c>
      <c r="J956" cm="1">
        <f t="array" ref="J956">IF(AND(I956&gt;=0,I956&lt;=20),0,IF(AND(I956&gt;20,I956&lt;=40),1, IF(AND(I956&gt;40,I956&lt;=60),2,IF(AND(I956&gt;60,I956&lt;=80),3, IF(AND(I956&gt;80,I956&lt;=100),4,”5”)))))</f>
        <v>1</v>
      </c>
    </row>
    <row r="957" spans="1:10" x14ac:dyDescent="0.3">
      <c r="A957" t="str">
        <f t="shared" si="20"/>
        <v>59040_27</v>
      </c>
      <c r="B957">
        <f>VLOOKUP(C957,[1]lookuptable!$A$1:$C$7,2,0)</f>
        <v>59040</v>
      </c>
      <c r="C957" t="s">
        <v>19</v>
      </c>
      <c r="D957" s="1">
        <v>27</v>
      </c>
      <c r="E957">
        <v>1</v>
      </c>
      <c r="F957">
        <v>124</v>
      </c>
      <c r="G957">
        <v>125</v>
      </c>
      <c r="H957">
        <v>406</v>
      </c>
      <c r="I957" s="2">
        <v>30.788177340000001</v>
      </c>
      <c r="J957" cm="1">
        <f t="array" ref="J957">IF(AND(I957&gt;=0,I957&lt;=20),0,IF(AND(I957&gt;20,I957&lt;=40),1, IF(AND(I957&gt;40,I957&lt;=60),2,IF(AND(I957&gt;60,I957&lt;=80),3, IF(AND(I957&gt;80,I957&lt;=100),4,”5”)))))</f>
        <v>1</v>
      </c>
    </row>
    <row r="958" spans="1:10" x14ac:dyDescent="0.3">
      <c r="A958" t="str">
        <f t="shared" si="20"/>
        <v>59040_28</v>
      </c>
      <c r="B958">
        <f>VLOOKUP(C958,[1]lookuptable!$A$1:$C$7,2,0)</f>
        <v>59040</v>
      </c>
      <c r="C958" t="s">
        <v>19</v>
      </c>
      <c r="D958" s="1">
        <v>28</v>
      </c>
      <c r="E958">
        <v>0</v>
      </c>
      <c r="F958">
        <v>110</v>
      </c>
      <c r="G958">
        <v>110</v>
      </c>
      <c r="H958">
        <v>420</v>
      </c>
      <c r="I958" s="2">
        <v>26.190476189999998</v>
      </c>
      <c r="J958" cm="1">
        <f t="array" ref="J958">IF(AND(I958&gt;=0,I958&lt;=20),0,IF(AND(I958&gt;20,I958&lt;=40),1, IF(AND(I958&gt;40,I958&lt;=60),2,IF(AND(I958&gt;60,I958&lt;=80),3, IF(AND(I958&gt;80,I958&lt;=100),4,”5”)))))</f>
        <v>1</v>
      </c>
    </row>
    <row r="959" spans="1:10" x14ac:dyDescent="0.3">
      <c r="A959" t="str">
        <f t="shared" si="20"/>
        <v>59040_29</v>
      </c>
      <c r="B959">
        <f>VLOOKUP(C959,[1]lookuptable!$A$1:$C$7,2,0)</f>
        <v>59040</v>
      </c>
      <c r="C959" t="s">
        <v>19</v>
      </c>
      <c r="D959" s="1">
        <v>29</v>
      </c>
      <c r="E959">
        <v>5</v>
      </c>
      <c r="F959">
        <v>149</v>
      </c>
      <c r="G959">
        <v>154</v>
      </c>
      <c r="H959">
        <v>540</v>
      </c>
      <c r="I959" s="2">
        <v>28.518518520000001</v>
      </c>
      <c r="J959" cm="1">
        <f t="array" ref="J959">IF(AND(I959&gt;=0,I959&lt;=20),0,IF(AND(I959&gt;20,I959&lt;=40),1, IF(AND(I959&gt;40,I959&lt;=60),2,IF(AND(I959&gt;60,I959&lt;=80),3, IF(AND(I959&gt;80,I959&lt;=100),4,”5”)))))</f>
        <v>1</v>
      </c>
    </row>
    <row r="960" spans="1:10" x14ac:dyDescent="0.3">
      <c r="A960" t="str">
        <f t="shared" si="20"/>
        <v>59040_30</v>
      </c>
      <c r="B960">
        <f>VLOOKUP(C960,[1]lookuptable!$A$1:$C$7,2,0)</f>
        <v>59040</v>
      </c>
      <c r="C960" t="s">
        <v>19</v>
      </c>
      <c r="D960" s="1">
        <v>30</v>
      </c>
      <c r="E960">
        <v>0</v>
      </c>
      <c r="F960">
        <v>107</v>
      </c>
      <c r="G960">
        <v>107</v>
      </c>
      <c r="H960">
        <v>400</v>
      </c>
      <c r="I960" s="2">
        <v>26.75</v>
      </c>
      <c r="J960" cm="1">
        <f t="array" ref="J960">IF(AND(I960&gt;=0,I960&lt;=20),0,IF(AND(I960&gt;20,I960&lt;=40),1, IF(AND(I960&gt;40,I960&lt;=60),2,IF(AND(I960&gt;60,I960&lt;=80),3, IF(AND(I960&gt;80,I960&lt;=100),4,”5”)))))</f>
        <v>1</v>
      </c>
    </row>
    <row r="961" spans="1:10" x14ac:dyDescent="0.3">
      <c r="A961" t="str">
        <f t="shared" si="20"/>
        <v>59040_31</v>
      </c>
      <c r="B961">
        <f>VLOOKUP(C961,[1]lookuptable!$A$1:$C$7,2,0)</f>
        <v>59040</v>
      </c>
      <c r="C961" t="s">
        <v>19</v>
      </c>
      <c r="D961" s="1">
        <v>31</v>
      </c>
      <c r="E961">
        <v>0</v>
      </c>
      <c r="F961">
        <v>133</v>
      </c>
      <c r="G961">
        <v>133</v>
      </c>
      <c r="H961">
        <v>439</v>
      </c>
      <c r="I961" s="2">
        <v>30.296127559999999</v>
      </c>
      <c r="J961" cm="1">
        <f t="array" ref="J961">IF(AND(I961&gt;=0,I961&lt;=20),0,IF(AND(I961&gt;20,I961&lt;=40),1, IF(AND(I961&gt;40,I961&lt;=60),2,IF(AND(I961&gt;60,I961&lt;=80),3, IF(AND(I961&gt;80,I961&lt;=100),4,”5”)))))</f>
        <v>1</v>
      </c>
    </row>
    <row r="962" spans="1:10" x14ac:dyDescent="0.3">
      <c r="A962" t="str">
        <f t="shared" ref="A962:A1025" si="21">CONCATENATE(B962,"_",D962)</f>
        <v>59040_32</v>
      </c>
      <c r="B962">
        <f>VLOOKUP(C962,[1]lookuptable!$A$1:$C$7,2,0)</f>
        <v>59040</v>
      </c>
      <c r="C962" t="s">
        <v>19</v>
      </c>
      <c r="D962" s="1">
        <v>32</v>
      </c>
      <c r="E962">
        <v>2</v>
      </c>
      <c r="F962">
        <v>130</v>
      </c>
      <c r="G962">
        <v>132</v>
      </c>
      <c r="H962">
        <v>441</v>
      </c>
      <c r="I962" s="2">
        <v>29.93197279</v>
      </c>
      <c r="J962" cm="1">
        <f t="array" ref="J962">IF(AND(I962&gt;=0,I962&lt;=20),0,IF(AND(I962&gt;20,I962&lt;=40),1, IF(AND(I962&gt;40,I962&lt;=60),2,IF(AND(I962&gt;60,I962&lt;=80),3, IF(AND(I962&gt;80,I962&lt;=100),4,”5”)))))</f>
        <v>1</v>
      </c>
    </row>
    <row r="963" spans="1:10" x14ac:dyDescent="0.3">
      <c r="A963" t="str">
        <f t="shared" si="21"/>
        <v>59040_33</v>
      </c>
      <c r="B963">
        <f>VLOOKUP(C963,[1]lookuptable!$A$1:$C$7,2,0)</f>
        <v>59040</v>
      </c>
      <c r="C963" t="s">
        <v>19</v>
      </c>
      <c r="D963" s="1">
        <v>33</v>
      </c>
      <c r="E963">
        <v>2</v>
      </c>
      <c r="F963">
        <v>139</v>
      </c>
      <c r="G963">
        <v>141</v>
      </c>
      <c r="H963">
        <v>444</v>
      </c>
      <c r="I963" s="2">
        <v>31.756756759999998</v>
      </c>
      <c r="J963" cm="1">
        <f t="array" ref="J963">IF(AND(I963&gt;=0,I963&lt;=20),0,IF(AND(I963&gt;20,I963&lt;=40),1, IF(AND(I963&gt;40,I963&lt;=60),2,IF(AND(I963&gt;60,I963&lt;=80),3, IF(AND(I963&gt;80,I963&lt;=100),4,”5”)))))</f>
        <v>1</v>
      </c>
    </row>
    <row r="964" spans="1:10" x14ac:dyDescent="0.3">
      <c r="A964" t="str">
        <f t="shared" si="21"/>
        <v>59040_34</v>
      </c>
      <c r="B964">
        <f>VLOOKUP(C964,[1]lookuptable!$A$1:$C$7,2,0)</f>
        <v>59040</v>
      </c>
      <c r="C964" t="s">
        <v>19</v>
      </c>
      <c r="D964" s="1">
        <v>34</v>
      </c>
      <c r="E964">
        <v>2</v>
      </c>
      <c r="F964">
        <v>113</v>
      </c>
      <c r="G964">
        <v>115</v>
      </c>
      <c r="H964">
        <v>419</v>
      </c>
      <c r="I964" s="2">
        <v>27.44630072</v>
      </c>
      <c r="J964" cm="1">
        <f t="array" ref="J964">IF(AND(I964&gt;=0,I964&lt;=20),0,IF(AND(I964&gt;20,I964&lt;=40),1, IF(AND(I964&gt;40,I964&lt;=60),2,IF(AND(I964&gt;60,I964&lt;=80),3, IF(AND(I964&gt;80,I964&lt;=100),4,”5”)))))</f>
        <v>1</v>
      </c>
    </row>
    <row r="965" spans="1:10" x14ac:dyDescent="0.3">
      <c r="A965" t="str">
        <f t="shared" si="21"/>
        <v>59040_35</v>
      </c>
      <c r="B965">
        <f>VLOOKUP(C965,[1]lookuptable!$A$1:$C$7,2,0)</f>
        <v>59040</v>
      </c>
      <c r="C965" t="s">
        <v>19</v>
      </c>
      <c r="D965" s="1">
        <v>35</v>
      </c>
      <c r="E965">
        <v>1</v>
      </c>
      <c r="F965">
        <v>139</v>
      </c>
      <c r="G965">
        <v>140</v>
      </c>
      <c r="H965">
        <v>466</v>
      </c>
      <c r="I965" s="2">
        <v>30.042918449999998</v>
      </c>
      <c r="J965" cm="1">
        <f t="array" ref="J965">IF(AND(I965&gt;=0,I965&lt;=20),0,IF(AND(I965&gt;20,I965&lt;=40),1, IF(AND(I965&gt;40,I965&lt;=60),2,IF(AND(I965&gt;60,I965&lt;=80),3, IF(AND(I965&gt;80,I965&lt;=100),4,”5”)))))</f>
        <v>1</v>
      </c>
    </row>
    <row r="966" spans="1:10" x14ac:dyDescent="0.3">
      <c r="A966" t="str">
        <f t="shared" si="21"/>
        <v>59040_36</v>
      </c>
      <c r="B966">
        <f>VLOOKUP(C966,[1]lookuptable!$A$1:$C$7,2,0)</f>
        <v>59040</v>
      </c>
      <c r="C966" t="s">
        <v>19</v>
      </c>
      <c r="D966" s="1">
        <v>36</v>
      </c>
      <c r="E966">
        <v>1</v>
      </c>
      <c r="F966">
        <v>149</v>
      </c>
      <c r="G966">
        <v>150</v>
      </c>
      <c r="H966">
        <v>500</v>
      </c>
      <c r="I966" s="2">
        <v>30</v>
      </c>
      <c r="J966" cm="1">
        <f t="array" ref="J966">IF(AND(I966&gt;=0,I966&lt;=20),0,IF(AND(I966&gt;20,I966&lt;=40),1, IF(AND(I966&gt;40,I966&lt;=60),2,IF(AND(I966&gt;60,I966&lt;=80),3, IF(AND(I966&gt;80,I966&lt;=100),4,”5”)))))</f>
        <v>1</v>
      </c>
    </row>
    <row r="967" spans="1:10" x14ac:dyDescent="0.3">
      <c r="A967" t="str">
        <f t="shared" si="21"/>
        <v>59040_37</v>
      </c>
      <c r="B967">
        <f>VLOOKUP(C967,[1]lookuptable!$A$1:$C$7,2,0)</f>
        <v>59040</v>
      </c>
      <c r="C967" t="s">
        <v>19</v>
      </c>
      <c r="D967" s="1">
        <v>37</v>
      </c>
      <c r="E967">
        <v>1</v>
      </c>
      <c r="F967">
        <v>163</v>
      </c>
      <c r="G967">
        <v>164</v>
      </c>
      <c r="H967">
        <v>494</v>
      </c>
      <c r="I967" s="2">
        <v>33.198380569999998</v>
      </c>
      <c r="J967" cm="1">
        <f t="array" ref="J967">IF(AND(I967&gt;=0,I967&lt;=20),0,IF(AND(I967&gt;20,I967&lt;=40),1, IF(AND(I967&gt;40,I967&lt;=60),2,IF(AND(I967&gt;60,I967&lt;=80),3, IF(AND(I967&gt;80,I967&lt;=100),4,”5”)))))</f>
        <v>1</v>
      </c>
    </row>
    <row r="968" spans="1:10" x14ac:dyDescent="0.3">
      <c r="A968" t="str">
        <f t="shared" si="21"/>
        <v>59040_38</v>
      </c>
      <c r="B968">
        <f>VLOOKUP(C968,[1]lookuptable!$A$1:$C$7,2,0)</f>
        <v>59040</v>
      </c>
      <c r="C968" t="s">
        <v>19</v>
      </c>
      <c r="D968" s="1">
        <v>38</v>
      </c>
      <c r="E968">
        <v>2</v>
      </c>
      <c r="F968">
        <v>160</v>
      </c>
      <c r="G968">
        <v>162</v>
      </c>
      <c r="H968">
        <v>457</v>
      </c>
      <c r="I968" s="2">
        <v>35.44857768</v>
      </c>
      <c r="J968" cm="1">
        <f t="array" ref="J968">IF(AND(I968&gt;=0,I968&lt;=20),0,IF(AND(I968&gt;20,I968&lt;=40),1, IF(AND(I968&gt;40,I968&lt;=60),2,IF(AND(I968&gt;60,I968&lt;=80),3, IF(AND(I968&gt;80,I968&lt;=100),4,”5”)))))</f>
        <v>1</v>
      </c>
    </row>
    <row r="969" spans="1:10" x14ac:dyDescent="0.3">
      <c r="A969" t="str">
        <f t="shared" si="21"/>
        <v>59040_39</v>
      </c>
      <c r="B969">
        <f>VLOOKUP(C969,[1]lookuptable!$A$1:$C$7,2,0)</f>
        <v>59040</v>
      </c>
      <c r="C969" t="s">
        <v>19</v>
      </c>
      <c r="D969" s="1">
        <v>39</v>
      </c>
      <c r="E969">
        <v>2</v>
      </c>
      <c r="F969">
        <v>174</v>
      </c>
      <c r="G969">
        <v>176</v>
      </c>
      <c r="H969">
        <v>481</v>
      </c>
      <c r="I969" s="2">
        <v>36.590436590000003</v>
      </c>
      <c r="J969" cm="1">
        <f t="array" ref="J969">IF(AND(I969&gt;=0,I969&lt;=20),0,IF(AND(I969&gt;20,I969&lt;=40),1, IF(AND(I969&gt;40,I969&lt;=60),2,IF(AND(I969&gt;60,I969&lt;=80),3, IF(AND(I969&gt;80,I969&lt;=100),4,”5”)))))</f>
        <v>1</v>
      </c>
    </row>
    <row r="970" spans="1:10" x14ac:dyDescent="0.3">
      <c r="A970" t="str">
        <f t="shared" si="21"/>
        <v>59040_40</v>
      </c>
      <c r="B970">
        <f>VLOOKUP(C970,[1]lookuptable!$A$1:$C$7,2,0)</f>
        <v>59040</v>
      </c>
      <c r="C970" t="s">
        <v>19</v>
      </c>
      <c r="D970" s="1">
        <v>40</v>
      </c>
      <c r="E970">
        <v>1</v>
      </c>
      <c r="F970">
        <v>141</v>
      </c>
      <c r="G970">
        <v>142</v>
      </c>
      <c r="H970">
        <v>442</v>
      </c>
      <c r="I970" s="2">
        <v>32.12669683</v>
      </c>
      <c r="J970" cm="1">
        <f t="array" ref="J970">IF(AND(I970&gt;=0,I970&lt;=20),0,IF(AND(I970&gt;20,I970&lt;=40),1, IF(AND(I970&gt;40,I970&lt;=60),2,IF(AND(I970&gt;60,I970&lt;=80),3, IF(AND(I970&gt;80,I970&lt;=100),4,”5”)))))</f>
        <v>1</v>
      </c>
    </row>
    <row r="971" spans="1:10" x14ac:dyDescent="0.3">
      <c r="A971" t="str">
        <f t="shared" si="21"/>
        <v>59040_41</v>
      </c>
      <c r="B971">
        <f>VLOOKUP(C971,[1]lookuptable!$A$1:$C$7,2,0)</f>
        <v>59040</v>
      </c>
      <c r="C971" t="s">
        <v>19</v>
      </c>
      <c r="D971" s="1">
        <v>41</v>
      </c>
      <c r="E971">
        <v>2</v>
      </c>
      <c r="F971">
        <v>120</v>
      </c>
      <c r="G971">
        <v>122</v>
      </c>
      <c r="H971">
        <v>411</v>
      </c>
      <c r="I971" s="2">
        <v>29.6836983</v>
      </c>
      <c r="J971" cm="1">
        <f t="array" ref="J971">IF(AND(I971&gt;=0,I971&lt;=20),0,IF(AND(I971&gt;20,I971&lt;=40),1, IF(AND(I971&gt;40,I971&lt;=60),2,IF(AND(I971&gt;60,I971&lt;=80),3, IF(AND(I971&gt;80,I971&lt;=100),4,”5”)))))</f>
        <v>1</v>
      </c>
    </row>
    <row r="972" spans="1:10" x14ac:dyDescent="0.3">
      <c r="A972" t="str">
        <f t="shared" si="21"/>
        <v>59040_42</v>
      </c>
      <c r="B972">
        <f>VLOOKUP(C972,[1]lookuptable!$A$1:$C$7,2,0)</f>
        <v>59040</v>
      </c>
      <c r="C972" t="s">
        <v>19</v>
      </c>
      <c r="D972" s="1">
        <v>42</v>
      </c>
      <c r="E972">
        <v>3</v>
      </c>
      <c r="F972">
        <v>134</v>
      </c>
      <c r="G972">
        <v>137</v>
      </c>
      <c r="H972">
        <v>422</v>
      </c>
      <c r="I972" s="2">
        <v>32.464454979999999</v>
      </c>
      <c r="J972" cm="1">
        <f t="array" ref="J972">IF(AND(I972&gt;=0,I972&lt;=20),0,IF(AND(I972&gt;20,I972&lt;=40),1, IF(AND(I972&gt;40,I972&lt;=60),2,IF(AND(I972&gt;60,I972&lt;=80),3, IF(AND(I972&gt;80,I972&lt;=100),4,”5”)))))</f>
        <v>1</v>
      </c>
    </row>
    <row r="973" spans="1:10" x14ac:dyDescent="0.3">
      <c r="A973" t="str">
        <f t="shared" si="21"/>
        <v>59040_43</v>
      </c>
      <c r="B973">
        <f>VLOOKUP(C973,[1]lookuptable!$A$1:$C$7,2,0)</f>
        <v>59040</v>
      </c>
      <c r="C973" t="s">
        <v>19</v>
      </c>
      <c r="D973" s="1">
        <v>43</v>
      </c>
      <c r="E973">
        <v>0</v>
      </c>
      <c r="F973">
        <v>127</v>
      </c>
      <c r="G973">
        <v>127</v>
      </c>
      <c r="H973">
        <v>411</v>
      </c>
      <c r="I973" s="2">
        <v>30.90024331</v>
      </c>
      <c r="J973" cm="1">
        <f t="array" ref="J973">IF(AND(I973&gt;=0,I973&lt;=20),0,IF(AND(I973&gt;20,I973&lt;=40),1, IF(AND(I973&gt;40,I973&lt;=60),2,IF(AND(I973&gt;60,I973&lt;=80),3, IF(AND(I973&gt;80,I973&lt;=100),4,”5”)))))</f>
        <v>1</v>
      </c>
    </row>
    <row r="974" spans="1:10" x14ac:dyDescent="0.3">
      <c r="A974" t="str">
        <f t="shared" si="21"/>
        <v>59040_44</v>
      </c>
      <c r="B974">
        <f>VLOOKUP(C974,[1]lookuptable!$A$1:$C$7,2,0)</f>
        <v>59040</v>
      </c>
      <c r="C974" t="s">
        <v>19</v>
      </c>
      <c r="D974" s="1">
        <v>44</v>
      </c>
      <c r="E974">
        <v>0</v>
      </c>
      <c r="F974">
        <v>93</v>
      </c>
      <c r="G974">
        <v>93</v>
      </c>
      <c r="H974">
        <v>369</v>
      </c>
      <c r="I974" s="2">
        <v>25.203252030000002</v>
      </c>
      <c r="J974" cm="1">
        <f t="array" ref="J974">IF(AND(I974&gt;=0,I974&lt;=20),0,IF(AND(I974&gt;20,I974&lt;=40),1, IF(AND(I974&gt;40,I974&lt;=60),2,IF(AND(I974&gt;60,I974&lt;=80),3, IF(AND(I974&gt;80,I974&lt;=100),4,”5”)))))</f>
        <v>1</v>
      </c>
    </row>
    <row r="975" spans="1:10" x14ac:dyDescent="0.3">
      <c r="A975" t="str">
        <f t="shared" si="21"/>
        <v>59040_45</v>
      </c>
      <c r="B975">
        <f>VLOOKUP(C975,[1]lookuptable!$A$1:$C$7,2,0)</f>
        <v>59040</v>
      </c>
      <c r="C975" t="s">
        <v>19</v>
      </c>
      <c r="D975" s="1">
        <v>45</v>
      </c>
      <c r="E975">
        <v>1</v>
      </c>
      <c r="F975">
        <v>191</v>
      </c>
      <c r="G975">
        <v>192</v>
      </c>
      <c r="H975">
        <v>507</v>
      </c>
      <c r="I975" s="2">
        <v>37.869822489999997</v>
      </c>
      <c r="J975" cm="1">
        <f t="array" ref="J975">IF(AND(I975&gt;=0,I975&lt;=20),0,IF(AND(I975&gt;20,I975&lt;=40),1, IF(AND(I975&gt;40,I975&lt;=60),2,IF(AND(I975&gt;60,I975&lt;=80),3, IF(AND(I975&gt;80,I975&lt;=100),4,”5”)))))</f>
        <v>1</v>
      </c>
    </row>
    <row r="976" spans="1:10" x14ac:dyDescent="0.3">
      <c r="A976" t="str">
        <f t="shared" si="21"/>
        <v>59040_46</v>
      </c>
      <c r="B976">
        <f>VLOOKUP(C976,[1]lookuptable!$A$1:$C$7,2,0)</f>
        <v>59040</v>
      </c>
      <c r="C976" t="s">
        <v>19</v>
      </c>
      <c r="D976" s="1">
        <v>46</v>
      </c>
      <c r="E976">
        <v>1</v>
      </c>
      <c r="F976">
        <v>131</v>
      </c>
      <c r="G976">
        <v>132</v>
      </c>
      <c r="H976">
        <v>451</v>
      </c>
      <c r="I976" s="2">
        <v>29.268292679999998</v>
      </c>
      <c r="J976" cm="1">
        <f t="array" ref="J976">IF(AND(I976&gt;=0,I976&lt;=20),0,IF(AND(I976&gt;20,I976&lt;=40),1, IF(AND(I976&gt;40,I976&lt;=60),2,IF(AND(I976&gt;60,I976&lt;=80),3, IF(AND(I976&gt;80,I976&lt;=100),4,”5”)))))</f>
        <v>1</v>
      </c>
    </row>
    <row r="977" spans="1:10" x14ac:dyDescent="0.3">
      <c r="A977" t="str">
        <f t="shared" si="21"/>
        <v>59040_47</v>
      </c>
      <c r="B977">
        <f>VLOOKUP(C977,[1]lookuptable!$A$1:$C$7,2,0)</f>
        <v>59040</v>
      </c>
      <c r="C977" t="s">
        <v>19</v>
      </c>
      <c r="D977" s="1">
        <v>47</v>
      </c>
      <c r="E977">
        <v>4</v>
      </c>
      <c r="F977">
        <v>136</v>
      </c>
      <c r="G977">
        <v>140</v>
      </c>
      <c r="H977">
        <v>387</v>
      </c>
      <c r="I977" s="2">
        <v>36.175710590000001</v>
      </c>
      <c r="J977" cm="1">
        <f t="array" ref="J977">IF(AND(I977&gt;=0,I977&lt;=20),0,IF(AND(I977&gt;20,I977&lt;=40),1, IF(AND(I977&gt;40,I977&lt;=60),2,IF(AND(I977&gt;60,I977&lt;=80),3, IF(AND(I977&gt;80,I977&lt;=100),4,”5”)))))</f>
        <v>1</v>
      </c>
    </row>
    <row r="978" spans="1:10" x14ac:dyDescent="0.3">
      <c r="A978" t="str">
        <f t="shared" si="21"/>
        <v>59040_48</v>
      </c>
      <c r="B978">
        <f>VLOOKUP(C978,[1]lookuptable!$A$1:$C$7,2,0)</f>
        <v>59040</v>
      </c>
      <c r="C978" t="s">
        <v>19</v>
      </c>
      <c r="D978" s="1">
        <v>48</v>
      </c>
      <c r="E978">
        <v>1</v>
      </c>
      <c r="F978">
        <v>83</v>
      </c>
      <c r="G978">
        <v>84</v>
      </c>
      <c r="H978">
        <v>335</v>
      </c>
      <c r="I978" s="2">
        <v>25.074626869999999</v>
      </c>
      <c r="J978" cm="1">
        <f t="array" ref="J978">IF(AND(I978&gt;=0,I978&lt;=20),0,IF(AND(I978&gt;20,I978&lt;=40),1, IF(AND(I978&gt;40,I978&lt;=60),2,IF(AND(I978&gt;60,I978&lt;=80),3, IF(AND(I978&gt;80,I978&lt;=100),4,”5”)))))</f>
        <v>1</v>
      </c>
    </row>
    <row r="979" spans="1:10" x14ac:dyDescent="0.3">
      <c r="A979" t="str">
        <f t="shared" si="21"/>
        <v>59040_49</v>
      </c>
      <c r="B979">
        <f>VLOOKUP(C979,[1]lookuptable!$A$1:$C$7,2,0)</f>
        <v>59040</v>
      </c>
      <c r="C979" t="s">
        <v>19</v>
      </c>
      <c r="D979" s="1">
        <v>49</v>
      </c>
      <c r="E979">
        <v>0</v>
      </c>
      <c r="F979">
        <v>100</v>
      </c>
      <c r="G979">
        <v>100</v>
      </c>
      <c r="H979">
        <v>333</v>
      </c>
      <c r="I979" s="2">
        <v>30.030030029999999</v>
      </c>
      <c r="J979" cm="1">
        <f t="array" ref="J979">IF(AND(I979&gt;=0,I979&lt;=20),0,IF(AND(I979&gt;20,I979&lt;=40),1, IF(AND(I979&gt;40,I979&lt;=60),2,IF(AND(I979&gt;60,I979&lt;=80),3, IF(AND(I979&gt;80,I979&lt;=100),4,”5”)))))</f>
        <v>1</v>
      </c>
    </row>
    <row r="980" spans="1:10" x14ac:dyDescent="0.3">
      <c r="A980" t="str">
        <f t="shared" si="21"/>
        <v>59040_ 50A</v>
      </c>
      <c r="B980">
        <f>VLOOKUP(C980,[1]lookuptable!$A$1:$C$7,2,0)</f>
        <v>59040</v>
      </c>
      <c r="C980" t="s">
        <v>19</v>
      </c>
      <c r="D980" s="1" t="s">
        <v>20</v>
      </c>
      <c r="E980">
        <v>0</v>
      </c>
      <c r="F980">
        <v>112</v>
      </c>
      <c r="G980">
        <v>112</v>
      </c>
      <c r="H980">
        <v>367</v>
      </c>
      <c r="I980" s="2">
        <v>30.517711169999998</v>
      </c>
      <c r="J980" cm="1">
        <f t="array" ref="J980">IF(AND(I980&gt;=0,I980&lt;=20),0,IF(AND(I980&gt;20,I980&lt;=40),1, IF(AND(I980&gt;40,I980&lt;=60),2,IF(AND(I980&gt;60,I980&lt;=80),3, IF(AND(I980&gt;80,I980&lt;=100),4,”5”)))))</f>
        <v>1</v>
      </c>
    </row>
    <row r="981" spans="1:10" x14ac:dyDescent="0.3">
      <c r="A981" t="str">
        <f t="shared" si="21"/>
        <v>59040_ 50B</v>
      </c>
      <c r="B981">
        <f>VLOOKUP(C981,[1]lookuptable!$A$1:$C$7,2,0)</f>
        <v>59040</v>
      </c>
      <c r="C981" t="s">
        <v>19</v>
      </c>
      <c r="D981" s="1" t="s">
        <v>21</v>
      </c>
      <c r="E981">
        <v>1</v>
      </c>
      <c r="F981">
        <v>62</v>
      </c>
      <c r="G981">
        <v>63</v>
      </c>
      <c r="H981">
        <v>285</v>
      </c>
      <c r="I981" s="2">
        <v>22.10526316</v>
      </c>
      <c r="J981" cm="1">
        <f t="array" ref="J981">IF(AND(I981&gt;=0,I981&lt;=20),0,IF(AND(I981&gt;20,I981&lt;=40),1, IF(AND(I981&gt;40,I981&lt;=60),2,IF(AND(I981&gt;60,I981&lt;=80),3, IF(AND(I981&gt;80,I981&lt;=100),4,”5”)))))</f>
        <v>1</v>
      </c>
    </row>
    <row r="982" spans="1:10" x14ac:dyDescent="0.3">
      <c r="A982" t="str">
        <f t="shared" si="21"/>
        <v>59040_51</v>
      </c>
      <c r="B982">
        <f>VLOOKUP(C982,[1]lookuptable!$A$1:$C$7,2,0)</f>
        <v>59040</v>
      </c>
      <c r="C982" t="s">
        <v>19</v>
      </c>
      <c r="D982" s="1">
        <v>51</v>
      </c>
      <c r="E982">
        <v>0</v>
      </c>
      <c r="F982">
        <v>58</v>
      </c>
      <c r="G982">
        <v>58</v>
      </c>
      <c r="H982">
        <v>378</v>
      </c>
      <c r="I982" s="2">
        <v>15.343915340000001</v>
      </c>
      <c r="J982" cm="1">
        <f t="array" ref="J982">IF(AND(I982&gt;=0,I982&lt;=20),0,IF(AND(I982&gt;20,I982&lt;=40),1, IF(AND(I982&gt;40,I982&lt;=60),2,IF(AND(I982&gt;60,I982&lt;=80),3, IF(AND(I982&gt;80,I982&lt;=100),4,”5”)))))</f>
        <v>0</v>
      </c>
    </row>
    <row r="983" spans="1:10" x14ac:dyDescent="0.3">
      <c r="A983" t="str">
        <f t="shared" si="21"/>
        <v>59040_52</v>
      </c>
      <c r="B983">
        <f>VLOOKUP(C983,[1]lookuptable!$A$1:$C$7,2,0)</f>
        <v>59040</v>
      </c>
      <c r="C983" t="s">
        <v>19</v>
      </c>
      <c r="D983" s="1">
        <v>52</v>
      </c>
      <c r="E983">
        <v>1</v>
      </c>
      <c r="F983">
        <v>96</v>
      </c>
      <c r="G983">
        <v>97</v>
      </c>
      <c r="H983">
        <v>443</v>
      </c>
      <c r="I983" s="2">
        <v>21.896162530000002</v>
      </c>
      <c r="J983" cm="1">
        <f t="array" ref="J983">IF(AND(I983&gt;=0,I983&lt;=20),0,IF(AND(I983&gt;20,I983&lt;=40),1, IF(AND(I983&gt;40,I983&lt;=60),2,IF(AND(I983&gt;60,I983&lt;=80),3, IF(AND(I983&gt;80,I983&lt;=100),4,”5”)))))</f>
        <v>1</v>
      </c>
    </row>
    <row r="984" spans="1:10" x14ac:dyDescent="0.3">
      <c r="A984" t="str">
        <f t="shared" si="21"/>
        <v>59040_53</v>
      </c>
      <c r="B984">
        <f>VLOOKUP(C984,[1]lookuptable!$A$1:$C$7,2,0)</f>
        <v>59040</v>
      </c>
      <c r="C984" t="s">
        <v>19</v>
      </c>
      <c r="D984" s="1">
        <v>53</v>
      </c>
      <c r="E984">
        <v>1</v>
      </c>
      <c r="F984">
        <v>66</v>
      </c>
      <c r="G984">
        <v>67</v>
      </c>
      <c r="H984">
        <v>406</v>
      </c>
      <c r="I984" s="2">
        <v>16.502463049999999</v>
      </c>
      <c r="J984" cm="1">
        <f t="array" ref="J984">IF(AND(I984&gt;=0,I984&lt;=20),0,IF(AND(I984&gt;20,I984&lt;=40),1, IF(AND(I984&gt;40,I984&lt;=60),2,IF(AND(I984&gt;60,I984&lt;=80),3, IF(AND(I984&gt;80,I984&lt;=100),4,”5”)))))</f>
        <v>0</v>
      </c>
    </row>
    <row r="985" spans="1:10" x14ac:dyDescent="0.3">
      <c r="A985" t="str">
        <f t="shared" si="21"/>
        <v>59040_54</v>
      </c>
      <c r="B985">
        <f>VLOOKUP(C985,[1]lookuptable!$A$1:$C$7,2,0)</f>
        <v>59040</v>
      </c>
      <c r="C985" t="s">
        <v>19</v>
      </c>
      <c r="D985" s="1">
        <v>54</v>
      </c>
      <c r="E985">
        <v>1</v>
      </c>
      <c r="F985">
        <v>112</v>
      </c>
      <c r="G985">
        <v>113</v>
      </c>
      <c r="H985">
        <v>495</v>
      </c>
      <c r="I985" s="2">
        <v>22.828282829999999</v>
      </c>
      <c r="J985" cm="1">
        <f t="array" ref="J985">IF(AND(I985&gt;=0,I985&lt;=20),0,IF(AND(I985&gt;20,I985&lt;=40),1, IF(AND(I985&gt;40,I985&lt;=60),2,IF(AND(I985&gt;60,I985&lt;=80),3, IF(AND(I985&gt;80,I985&lt;=100),4,”5”)))))</f>
        <v>1</v>
      </c>
    </row>
    <row r="986" spans="1:10" x14ac:dyDescent="0.3">
      <c r="A986" t="str">
        <f t="shared" si="21"/>
        <v>59040_55</v>
      </c>
      <c r="B986">
        <f>VLOOKUP(C986,[1]lookuptable!$A$1:$C$7,2,0)</f>
        <v>59040</v>
      </c>
      <c r="C986" t="s">
        <v>19</v>
      </c>
      <c r="D986" s="1">
        <v>55</v>
      </c>
      <c r="E986">
        <v>1</v>
      </c>
      <c r="F986">
        <v>59</v>
      </c>
      <c r="G986">
        <v>60</v>
      </c>
      <c r="H986">
        <v>331</v>
      </c>
      <c r="I986" s="2">
        <v>18.126888220000001</v>
      </c>
      <c r="J986" cm="1">
        <f t="array" ref="J986">IF(AND(I986&gt;=0,I986&lt;=20),0,IF(AND(I986&gt;20,I986&lt;=40),1, IF(AND(I986&gt;40,I986&lt;=60),2,IF(AND(I986&gt;60,I986&lt;=80),3, IF(AND(I986&gt;80,I986&lt;=100),4,”5”)))))</f>
        <v>0</v>
      </c>
    </row>
    <row r="987" spans="1:10" x14ac:dyDescent="0.3">
      <c r="A987" t="str">
        <f t="shared" si="21"/>
        <v>59040_56</v>
      </c>
      <c r="B987">
        <f>VLOOKUP(C987,[1]lookuptable!$A$1:$C$7,2,0)</f>
        <v>59040</v>
      </c>
      <c r="C987" t="s">
        <v>19</v>
      </c>
      <c r="D987" s="1">
        <v>56</v>
      </c>
      <c r="E987">
        <v>0</v>
      </c>
      <c r="F987">
        <v>157</v>
      </c>
      <c r="G987">
        <v>157</v>
      </c>
      <c r="H987">
        <v>458</v>
      </c>
      <c r="I987" s="2">
        <v>34.279475980000001</v>
      </c>
      <c r="J987" cm="1">
        <f t="array" ref="J987">IF(AND(I987&gt;=0,I987&lt;=20),0,IF(AND(I987&gt;20,I987&lt;=40),1, IF(AND(I987&gt;40,I987&lt;=60),2,IF(AND(I987&gt;60,I987&lt;=80),3, IF(AND(I987&gt;80,I987&lt;=100),4,”5”)))))</f>
        <v>1</v>
      </c>
    </row>
    <row r="988" spans="1:10" x14ac:dyDescent="0.3">
      <c r="A988" t="str">
        <f t="shared" si="21"/>
        <v>59040_57</v>
      </c>
      <c r="B988">
        <f>VLOOKUP(C988,[1]lookuptable!$A$1:$C$7,2,0)</f>
        <v>59040</v>
      </c>
      <c r="C988" t="s">
        <v>19</v>
      </c>
      <c r="D988" s="1">
        <v>57</v>
      </c>
      <c r="E988">
        <v>1</v>
      </c>
      <c r="F988">
        <v>121</v>
      </c>
      <c r="G988">
        <v>122</v>
      </c>
      <c r="H988">
        <v>495</v>
      </c>
      <c r="I988" s="2">
        <v>24.646464649999999</v>
      </c>
      <c r="J988" cm="1">
        <f t="array" ref="J988">IF(AND(I988&gt;=0,I988&lt;=20),0,IF(AND(I988&gt;20,I988&lt;=40),1, IF(AND(I988&gt;40,I988&lt;=60),2,IF(AND(I988&gt;60,I988&lt;=80),3, IF(AND(I988&gt;80,I988&lt;=100),4,”5”)))))</f>
        <v>1</v>
      </c>
    </row>
    <row r="989" spans="1:10" x14ac:dyDescent="0.3">
      <c r="A989" t="str">
        <f t="shared" si="21"/>
        <v>59040_58</v>
      </c>
      <c r="B989">
        <f>VLOOKUP(C989,[1]lookuptable!$A$1:$C$7,2,0)</f>
        <v>59040</v>
      </c>
      <c r="C989" t="s">
        <v>19</v>
      </c>
      <c r="D989" s="1">
        <v>58</v>
      </c>
      <c r="E989">
        <v>2</v>
      </c>
      <c r="F989">
        <v>137</v>
      </c>
      <c r="G989">
        <v>139</v>
      </c>
      <c r="H989">
        <v>353</v>
      </c>
      <c r="I989" s="2">
        <v>39.376770540000003</v>
      </c>
      <c r="J989" cm="1">
        <f t="array" ref="J989">IF(AND(I989&gt;=0,I989&lt;=20),0,IF(AND(I989&gt;20,I989&lt;=40),1, IF(AND(I989&gt;40,I989&lt;=60),2,IF(AND(I989&gt;60,I989&lt;=80),3, IF(AND(I989&gt;80,I989&lt;=100),4,”5”)))))</f>
        <v>1</v>
      </c>
    </row>
    <row r="990" spans="1:10" x14ac:dyDescent="0.3">
      <c r="A990" t="str">
        <f t="shared" si="21"/>
        <v>59040_59</v>
      </c>
      <c r="B990">
        <f>VLOOKUP(C990,[1]lookuptable!$A$1:$C$7,2,0)</f>
        <v>59040</v>
      </c>
      <c r="C990" t="s">
        <v>19</v>
      </c>
      <c r="D990" s="1">
        <v>59</v>
      </c>
      <c r="E990">
        <v>1</v>
      </c>
      <c r="F990">
        <v>114</v>
      </c>
      <c r="G990">
        <v>115</v>
      </c>
      <c r="H990">
        <v>441</v>
      </c>
      <c r="I990" s="2">
        <v>26.077097510000002</v>
      </c>
      <c r="J990" cm="1">
        <f t="array" ref="J990">IF(AND(I990&gt;=0,I990&lt;=20),0,IF(AND(I990&gt;20,I990&lt;=40),1, IF(AND(I990&gt;40,I990&lt;=60),2,IF(AND(I990&gt;60,I990&lt;=80),3, IF(AND(I990&gt;80,I990&lt;=100),4,”5”)))))</f>
        <v>1</v>
      </c>
    </row>
    <row r="991" spans="1:10" x14ac:dyDescent="0.3">
      <c r="A991" t="str">
        <f t="shared" si="21"/>
        <v>59040_60</v>
      </c>
      <c r="B991">
        <f>VLOOKUP(C991,[1]lookuptable!$A$1:$C$7,2,0)</f>
        <v>59040</v>
      </c>
      <c r="C991" t="s">
        <v>19</v>
      </c>
      <c r="D991" s="1">
        <v>60</v>
      </c>
      <c r="E991">
        <v>6</v>
      </c>
      <c r="F991">
        <v>179</v>
      </c>
      <c r="G991">
        <v>185</v>
      </c>
      <c r="H991">
        <v>400</v>
      </c>
      <c r="I991" s="2">
        <v>46.25</v>
      </c>
      <c r="J991" cm="1">
        <f t="array" ref="J991">IF(AND(I991&gt;=0,I991&lt;=20),0,IF(AND(I991&gt;20,I991&lt;=40),1, IF(AND(I991&gt;40,I991&lt;=60),2,IF(AND(I991&gt;60,I991&lt;=80),3, IF(AND(I991&gt;80,I991&lt;=100),4,”5”)))))</f>
        <v>2</v>
      </c>
    </row>
    <row r="992" spans="1:10" x14ac:dyDescent="0.3">
      <c r="A992" t="str">
        <f t="shared" si="21"/>
        <v>59040_61</v>
      </c>
      <c r="B992">
        <f>VLOOKUP(C992,[1]lookuptable!$A$1:$C$7,2,0)</f>
        <v>59040</v>
      </c>
      <c r="C992" t="s">
        <v>19</v>
      </c>
      <c r="D992" s="1">
        <v>61</v>
      </c>
      <c r="E992">
        <v>1</v>
      </c>
      <c r="F992">
        <v>147</v>
      </c>
      <c r="G992">
        <v>148</v>
      </c>
      <c r="H992">
        <v>424</v>
      </c>
      <c r="I992" s="2">
        <v>34.90566038</v>
      </c>
      <c r="J992" cm="1">
        <f t="array" ref="J992">IF(AND(I992&gt;=0,I992&lt;=20),0,IF(AND(I992&gt;20,I992&lt;=40),1, IF(AND(I992&gt;40,I992&lt;=60),2,IF(AND(I992&gt;60,I992&lt;=80),3, IF(AND(I992&gt;80,I992&lt;=100),4,”5”)))))</f>
        <v>1</v>
      </c>
    </row>
    <row r="993" spans="1:10" x14ac:dyDescent="0.3">
      <c r="A993" t="str">
        <f t="shared" si="21"/>
        <v>59040_62</v>
      </c>
      <c r="B993">
        <f>VLOOKUP(C993,[1]lookuptable!$A$1:$C$7,2,0)</f>
        <v>59040</v>
      </c>
      <c r="C993" t="s">
        <v>19</v>
      </c>
      <c r="D993" s="1">
        <v>62</v>
      </c>
      <c r="E993">
        <v>0</v>
      </c>
      <c r="F993">
        <v>134</v>
      </c>
      <c r="G993">
        <v>134</v>
      </c>
      <c r="H993">
        <v>426</v>
      </c>
      <c r="I993" s="2">
        <v>31.455399060000001</v>
      </c>
      <c r="J993" cm="1">
        <f t="array" ref="J993">IF(AND(I993&gt;=0,I993&lt;=20),0,IF(AND(I993&gt;20,I993&lt;=40),1, IF(AND(I993&gt;40,I993&lt;=60),2,IF(AND(I993&gt;60,I993&lt;=80),3, IF(AND(I993&gt;80,I993&lt;=100),4,”5”)))))</f>
        <v>1</v>
      </c>
    </row>
    <row r="994" spans="1:10" x14ac:dyDescent="0.3">
      <c r="A994" t="str">
        <f t="shared" si="21"/>
        <v>59040_63</v>
      </c>
      <c r="B994">
        <f>VLOOKUP(C994,[1]lookuptable!$A$1:$C$7,2,0)</f>
        <v>59040</v>
      </c>
      <c r="C994" t="s">
        <v>19</v>
      </c>
      <c r="D994" s="1">
        <v>63</v>
      </c>
      <c r="E994">
        <v>1</v>
      </c>
      <c r="F994">
        <v>102</v>
      </c>
      <c r="G994">
        <v>103</v>
      </c>
      <c r="H994">
        <v>376</v>
      </c>
      <c r="I994" s="2">
        <v>27.393617020000001</v>
      </c>
      <c r="J994" cm="1">
        <f t="array" ref="J994">IF(AND(I994&gt;=0,I994&lt;=20),0,IF(AND(I994&gt;20,I994&lt;=40),1, IF(AND(I994&gt;40,I994&lt;=60),2,IF(AND(I994&gt;60,I994&lt;=80),3, IF(AND(I994&gt;80,I994&lt;=100),4,”5”)))))</f>
        <v>1</v>
      </c>
    </row>
    <row r="995" spans="1:10" x14ac:dyDescent="0.3">
      <c r="A995" t="str">
        <f t="shared" si="21"/>
        <v>59040_64</v>
      </c>
      <c r="B995">
        <f>VLOOKUP(C995,[1]lookuptable!$A$1:$C$7,2,0)</f>
        <v>59040</v>
      </c>
      <c r="C995" t="s">
        <v>19</v>
      </c>
      <c r="D995" s="1">
        <v>64</v>
      </c>
      <c r="E995">
        <v>1</v>
      </c>
      <c r="F995">
        <v>145</v>
      </c>
      <c r="G995">
        <v>146</v>
      </c>
      <c r="H995">
        <v>439</v>
      </c>
      <c r="I995" s="2">
        <v>33.257403189999998</v>
      </c>
      <c r="J995" cm="1">
        <f t="array" ref="J995">IF(AND(I995&gt;=0,I995&lt;=20),0,IF(AND(I995&gt;20,I995&lt;=40),1, IF(AND(I995&gt;40,I995&lt;=60),2,IF(AND(I995&gt;60,I995&lt;=80),3, IF(AND(I995&gt;80,I995&lt;=100),4,”5”)))))</f>
        <v>1</v>
      </c>
    </row>
    <row r="996" spans="1:10" x14ac:dyDescent="0.3">
      <c r="A996" t="str">
        <f t="shared" si="21"/>
        <v>59040_65</v>
      </c>
      <c r="B996">
        <f>VLOOKUP(C996,[1]lookuptable!$A$1:$C$7,2,0)</f>
        <v>59040</v>
      </c>
      <c r="C996" t="s">
        <v>19</v>
      </c>
      <c r="D996" s="1">
        <v>65</v>
      </c>
      <c r="E996">
        <v>1</v>
      </c>
      <c r="F996">
        <v>165</v>
      </c>
      <c r="G996">
        <v>166</v>
      </c>
      <c r="H996">
        <v>477</v>
      </c>
      <c r="I996" s="2">
        <v>34.800838570000003</v>
      </c>
      <c r="J996" cm="1">
        <f t="array" ref="J996">IF(AND(I996&gt;=0,I996&lt;=20),0,IF(AND(I996&gt;20,I996&lt;=40),1, IF(AND(I996&gt;40,I996&lt;=60),2,IF(AND(I996&gt;60,I996&lt;=80),3, IF(AND(I996&gt;80,I996&lt;=100),4,”5”)))))</f>
        <v>1</v>
      </c>
    </row>
    <row r="997" spans="1:10" x14ac:dyDescent="0.3">
      <c r="A997" t="str">
        <f t="shared" si="21"/>
        <v>59040_66</v>
      </c>
      <c r="B997">
        <f>VLOOKUP(C997,[1]lookuptable!$A$1:$C$7,2,0)</f>
        <v>59040</v>
      </c>
      <c r="C997" t="s">
        <v>19</v>
      </c>
      <c r="D997" s="1">
        <v>66</v>
      </c>
      <c r="E997">
        <v>1</v>
      </c>
      <c r="F997">
        <v>151</v>
      </c>
      <c r="G997">
        <v>152</v>
      </c>
      <c r="H997">
        <v>445</v>
      </c>
      <c r="I997" s="2">
        <v>34.157303370000001</v>
      </c>
      <c r="J997" cm="1">
        <f t="array" ref="J997">IF(AND(I997&gt;=0,I997&lt;=20),0,IF(AND(I997&gt;20,I997&lt;=40),1, IF(AND(I997&gt;40,I997&lt;=60),2,IF(AND(I997&gt;60,I997&lt;=80),3, IF(AND(I997&gt;80,I997&lt;=100),4,”5”)))))</f>
        <v>1</v>
      </c>
    </row>
    <row r="998" spans="1:10" x14ac:dyDescent="0.3">
      <c r="A998" t="str">
        <f t="shared" si="21"/>
        <v>59040_67</v>
      </c>
      <c r="B998">
        <f>VLOOKUP(C998,[1]lookuptable!$A$1:$C$7,2,0)</f>
        <v>59040</v>
      </c>
      <c r="C998" t="s">
        <v>19</v>
      </c>
      <c r="D998" s="1">
        <v>67</v>
      </c>
      <c r="E998">
        <v>7</v>
      </c>
      <c r="F998">
        <v>206</v>
      </c>
      <c r="G998">
        <v>213</v>
      </c>
      <c r="H998">
        <v>456</v>
      </c>
      <c r="I998" s="2">
        <v>46.71052632</v>
      </c>
      <c r="J998" cm="1">
        <f t="array" ref="J998">IF(AND(I998&gt;=0,I998&lt;=20),0,IF(AND(I998&gt;20,I998&lt;=40),1, IF(AND(I998&gt;40,I998&lt;=60),2,IF(AND(I998&gt;60,I998&lt;=80),3, IF(AND(I998&gt;80,I998&lt;=100),4,”5”)))))</f>
        <v>2</v>
      </c>
    </row>
    <row r="999" spans="1:10" x14ac:dyDescent="0.3">
      <c r="A999" t="str">
        <f t="shared" si="21"/>
        <v>59040_68</v>
      </c>
      <c r="B999">
        <f>VLOOKUP(C999,[1]lookuptable!$A$1:$C$7,2,0)</f>
        <v>59040</v>
      </c>
      <c r="C999" t="s">
        <v>19</v>
      </c>
      <c r="D999" s="1">
        <v>68</v>
      </c>
      <c r="E999">
        <v>0</v>
      </c>
      <c r="F999">
        <v>132</v>
      </c>
      <c r="G999">
        <v>132</v>
      </c>
      <c r="H999">
        <v>352</v>
      </c>
      <c r="I999" s="2">
        <v>37.5</v>
      </c>
      <c r="J999" cm="1">
        <f t="array" ref="J999">IF(AND(I999&gt;=0,I999&lt;=20),0,IF(AND(I999&gt;20,I999&lt;=40),1, IF(AND(I999&gt;40,I999&lt;=60),2,IF(AND(I999&gt;60,I999&lt;=80),3, IF(AND(I999&gt;80,I999&lt;=100),4,”5”)))))</f>
        <v>1</v>
      </c>
    </row>
    <row r="1000" spans="1:10" x14ac:dyDescent="0.3">
      <c r="A1000" t="str">
        <f t="shared" si="21"/>
        <v>59040_69</v>
      </c>
      <c r="B1000">
        <f>VLOOKUP(C1000,[1]lookuptable!$A$1:$C$7,2,0)</f>
        <v>59040</v>
      </c>
      <c r="C1000" t="s">
        <v>19</v>
      </c>
      <c r="D1000" s="1">
        <v>69</v>
      </c>
      <c r="E1000">
        <v>1</v>
      </c>
      <c r="F1000">
        <v>119</v>
      </c>
      <c r="G1000">
        <v>120</v>
      </c>
      <c r="H1000">
        <v>402</v>
      </c>
      <c r="I1000" s="2">
        <v>29.850746269999998</v>
      </c>
      <c r="J1000" cm="1">
        <f t="array" ref="J1000">IF(AND(I1000&gt;=0,I1000&lt;=20),0,IF(AND(I1000&gt;20,I1000&lt;=40),1, IF(AND(I1000&gt;40,I1000&lt;=60),2,IF(AND(I1000&gt;60,I1000&lt;=80),3, IF(AND(I1000&gt;80,I1000&lt;=100),4,”5”)))))</f>
        <v>1</v>
      </c>
    </row>
    <row r="1001" spans="1:10" x14ac:dyDescent="0.3">
      <c r="A1001" t="str">
        <f t="shared" si="21"/>
        <v>59040_70</v>
      </c>
      <c r="B1001">
        <f>VLOOKUP(C1001,[1]lookuptable!$A$1:$C$7,2,0)</f>
        <v>59040</v>
      </c>
      <c r="C1001" t="s">
        <v>19</v>
      </c>
      <c r="D1001" s="1">
        <v>70</v>
      </c>
      <c r="E1001">
        <v>0</v>
      </c>
      <c r="F1001">
        <v>134</v>
      </c>
      <c r="G1001">
        <v>134</v>
      </c>
      <c r="H1001">
        <v>381</v>
      </c>
      <c r="I1001" s="2">
        <v>35.170603669999998</v>
      </c>
      <c r="J1001" cm="1">
        <f t="array" ref="J1001">IF(AND(I1001&gt;=0,I1001&lt;=20),0,IF(AND(I1001&gt;20,I1001&lt;=40),1, IF(AND(I1001&gt;40,I1001&lt;=60),2,IF(AND(I1001&gt;60,I1001&lt;=80),3, IF(AND(I1001&gt;80,I1001&lt;=100),4,”5”)))))</f>
        <v>1</v>
      </c>
    </row>
    <row r="1002" spans="1:10" x14ac:dyDescent="0.3">
      <c r="A1002" t="str">
        <f t="shared" si="21"/>
        <v>59040_71</v>
      </c>
      <c r="B1002">
        <f>VLOOKUP(C1002,[1]lookuptable!$A$1:$C$7,2,0)</f>
        <v>59040</v>
      </c>
      <c r="C1002" t="s">
        <v>19</v>
      </c>
      <c r="D1002" s="1">
        <v>71</v>
      </c>
      <c r="E1002">
        <v>1</v>
      </c>
      <c r="F1002">
        <v>115</v>
      </c>
      <c r="G1002">
        <v>116</v>
      </c>
      <c r="H1002">
        <v>363</v>
      </c>
      <c r="I1002" s="2">
        <v>31.955922869999998</v>
      </c>
      <c r="J1002" cm="1">
        <f t="array" ref="J1002">IF(AND(I1002&gt;=0,I1002&lt;=20),0,IF(AND(I1002&gt;20,I1002&lt;=40),1, IF(AND(I1002&gt;40,I1002&lt;=60),2,IF(AND(I1002&gt;60,I1002&lt;=80),3, IF(AND(I1002&gt;80,I1002&lt;=100),4,”5”)))))</f>
        <v>1</v>
      </c>
    </row>
    <row r="1003" spans="1:10" x14ac:dyDescent="0.3">
      <c r="A1003" t="str">
        <f t="shared" si="21"/>
        <v>59040_72</v>
      </c>
      <c r="B1003">
        <f>VLOOKUP(C1003,[1]lookuptable!$A$1:$C$7,2,0)</f>
        <v>59040</v>
      </c>
      <c r="C1003" t="s">
        <v>19</v>
      </c>
      <c r="D1003" s="1">
        <v>72</v>
      </c>
      <c r="E1003">
        <v>0</v>
      </c>
      <c r="F1003">
        <v>81</v>
      </c>
      <c r="G1003">
        <v>81</v>
      </c>
      <c r="H1003">
        <v>318</v>
      </c>
      <c r="I1003" s="2">
        <v>25.471698109999998</v>
      </c>
      <c r="J1003" cm="1">
        <f t="array" ref="J1003">IF(AND(I1003&gt;=0,I1003&lt;=20),0,IF(AND(I1003&gt;20,I1003&lt;=40),1, IF(AND(I1003&gt;40,I1003&lt;=60),2,IF(AND(I1003&gt;60,I1003&lt;=80),3, IF(AND(I1003&gt;80,I1003&lt;=100),4,”5”)))))</f>
        <v>1</v>
      </c>
    </row>
    <row r="1004" spans="1:10" x14ac:dyDescent="0.3">
      <c r="A1004" t="str">
        <f t="shared" si="21"/>
        <v>59040_73</v>
      </c>
      <c r="B1004">
        <f>VLOOKUP(C1004,[1]lookuptable!$A$1:$C$7,2,0)</f>
        <v>59040</v>
      </c>
      <c r="C1004" t="s">
        <v>19</v>
      </c>
      <c r="D1004" s="1">
        <v>73</v>
      </c>
      <c r="E1004">
        <v>3</v>
      </c>
      <c r="F1004">
        <v>124</v>
      </c>
      <c r="G1004">
        <v>127</v>
      </c>
      <c r="H1004">
        <v>499</v>
      </c>
      <c r="I1004" s="2">
        <v>25.4509018</v>
      </c>
      <c r="J1004" cm="1">
        <f t="array" ref="J1004">IF(AND(I1004&gt;=0,I1004&lt;=20),0,IF(AND(I1004&gt;20,I1004&lt;=40),1, IF(AND(I1004&gt;40,I1004&lt;=60),2,IF(AND(I1004&gt;60,I1004&lt;=80),3, IF(AND(I1004&gt;80,I1004&lt;=100),4,”5”)))))</f>
        <v>1</v>
      </c>
    </row>
    <row r="1005" spans="1:10" x14ac:dyDescent="0.3">
      <c r="A1005" t="str">
        <f t="shared" si="21"/>
        <v>59040_74</v>
      </c>
      <c r="B1005">
        <f>VLOOKUP(C1005,[1]lookuptable!$A$1:$C$7,2,0)</f>
        <v>59040</v>
      </c>
      <c r="C1005" t="s">
        <v>19</v>
      </c>
      <c r="D1005" s="1">
        <v>74</v>
      </c>
      <c r="E1005">
        <v>1</v>
      </c>
      <c r="F1005">
        <v>116</v>
      </c>
      <c r="G1005">
        <v>117</v>
      </c>
      <c r="H1005">
        <v>469</v>
      </c>
      <c r="I1005" s="2">
        <v>24.946695099999999</v>
      </c>
      <c r="J1005" cm="1">
        <f t="array" ref="J1005">IF(AND(I1005&gt;=0,I1005&lt;=20),0,IF(AND(I1005&gt;20,I1005&lt;=40),1, IF(AND(I1005&gt;40,I1005&lt;=60),2,IF(AND(I1005&gt;60,I1005&lt;=80),3, IF(AND(I1005&gt;80,I1005&lt;=100),4,”5”)))))</f>
        <v>1</v>
      </c>
    </row>
    <row r="1006" spans="1:10" x14ac:dyDescent="0.3">
      <c r="A1006" t="str">
        <f t="shared" si="21"/>
        <v>59040_75</v>
      </c>
      <c r="B1006">
        <f>VLOOKUP(C1006,[1]lookuptable!$A$1:$C$7,2,0)</f>
        <v>59040</v>
      </c>
      <c r="C1006" t="s">
        <v>19</v>
      </c>
      <c r="D1006" s="1">
        <v>75</v>
      </c>
      <c r="E1006">
        <v>2</v>
      </c>
      <c r="F1006">
        <v>120</v>
      </c>
      <c r="G1006">
        <v>122</v>
      </c>
      <c r="H1006">
        <v>462</v>
      </c>
      <c r="I1006" s="2">
        <v>26.406926410000001</v>
      </c>
      <c r="J1006" cm="1">
        <f t="array" ref="J1006">IF(AND(I1006&gt;=0,I1006&lt;=20),0,IF(AND(I1006&gt;20,I1006&lt;=40),1, IF(AND(I1006&gt;40,I1006&lt;=60),2,IF(AND(I1006&gt;60,I1006&lt;=80),3, IF(AND(I1006&gt;80,I1006&lt;=100),4,”5”)))))</f>
        <v>1</v>
      </c>
    </row>
    <row r="1007" spans="1:10" x14ac:dyDescent="0.3">
      <c r="A1007" t="str">
        <f t="shared" si="21"/>
        <v>59040_76</v>
      </c>
      <c r="B1007">
        <f>VLOOKUP(C1007,[1]lookuptable!$A$1:$C$7,2,0)</f>
        <v>59040</v>
      </c>
      <c r="C1007" t="s">
        <v>19</v>
      </c>
      <c r="D1007" s="1">
        <v>76</v>
      </c>
      <c r="E1007">
        <v>0</v>
      </c>
      <c r="F1007">
        <v>116</v>
      </c>
      <c r="G1007">
        <v>116</v>
      </c>
      <c r="H1007">
        <v>431</v>
      </c>
      <c r="I1007" s="2">
        <v>26.914153129999999</v>
      </c>
      <c r="J1007" cm="1">
        <f t="array" ref="J1007">IF(AND(I1007&gt;=0,I1007&lt;=20),0,IF(AND(I1007&gt;20,I1007&lt;=40),1, IF(AND(I1007&gt;40,I1007&lt;=60),2,IF(AND(I1007&gt;60,I1007&lt;=80),3, IF(AND(I1007&gt;80,I1007&lt;=100),4,”5”)))))</f>
        <v>1</v>
      </c>
    </row>
    <row r="1008" spans="1:10" x14ac:dyDescent="0.3">
      <c r="A1008" t="str">
        <f t="shared" si="21"/>
        <v>59040_77</v>
      </c>
      <c r="B1008">
        <f>VLOOKUP(C1008,[1]lookuptable!$A$1:$C$7,2,0)</f>
        <v>59040</v>
      </c>
      <c r="C1008" t="s">
        <v>19</v>
      </c>
      <c r="D1008" s="1">
        <v>77</v>
      </c>
      <c r="E1008">
        <v>1</v>
      </c>
      <c r="F1008">
        <v>113</v>
      </c>
      <c r="G1008">
        <v>114</v>
      </c>
      <c r="H1008">
        <v>432</v>
      </c>
      <c r="I1008" s="2">
        <v>26.38888889</v>
      </c>
      <c r="J1008" cm="1">
        <f t="array" ref="J1008">IF(AND(I1008&gt;=0,I1008&lt;=20),0,IF(AND(I1008&gt;20,I1008&lt;=40),1, IF(AND(I1008&gt;40,I1008&lt;=60),2,IF(AND(I1008&gt;60,I1008&lt;=80),3, IF(AND(I1008&gt;80,I1008&lt;=100),4,”5”)))))</f>
        <v>1</v>
      </c>
    </row>
    <row r="1009" spans="1:10" x14ac:dyDescent="0.3">
      <c r="A1009" t="str">
        <f t="shared" si="21"/>
        <v>59040_78</v>
      </c>
      <c r="B1009">
        <f>VLOOKUP(C1009,[1]lookuptable!$A$1:$C$7,2,0)</f>
        <v>59040</v>
      </c>
      <c r="C1009" t="s">
        <v>19</v>
      </c>
      <c r="D1009" s="1">
        <v>78</v>
      </c>
      <c r="E1009">
        <v>1</v>
      </c>
      <c r="F1009">
        <v>108</v>
      </c>
      <c r="G1009">
        <v>109</v>
      </c>
      <c r="H1009">
        <v>440</v>
      </c>
      <c r="I1009" s="2">
        <v>24.772727270000001</v>
      </c>
      <c r="J1009" cm="1">
        <f t="array" ref="J1009">IF(AND(I1009&gt;=0,I1009&lt;=20),0,IF(AND(I1009&gt;20,I1009&lt;=40),1, IF(AND(I1009&gt;40,I1009&lt;=60),2,IF(AND(I1009&gt;60,I1009&lt;=80),3, IF(AND(I1009&gt;80,I1009&lt;=100),4,”5”)))))</f>
        <v>1</v>
      </c>
    </row>
    <row r="1010" spans="1:10" x14ac:dyDescent="0.3">
      <c r="A1010" t="str">
        <f t="shared" si="21"/>
        <v>59040_79</v>
      </c>
      <c r="B1010">
        <f>VLOOKUP(C1010,[1]lookuptable!$A$1:$C$7,2,0)</f>
        <v>59040</v>
      </c>
      <c r="C1010" t="s">
        <v>19</v>
      </c>
      <c r="D1010" s="1">
        <v>79</v>
      </c>
      <c r="E1010">
        <v>1</v>
      </c>
      <c r="F1010">
        <v>108</v>
      </c>
      <c r="G1010">
        <v>109</v>
      </c>
      <c r="H1010">
        <v>408</v>
      </c>
      <c r="I1010" s="2">
        <v>26.715686269999999</v>
      </c>
      <c r="J1010" cm="1">
        <f t="array" ref="J1010">IF(AND(I1010&gt;=0,I1010&lt;=20),0,IF(AND(I1010&gt;20,I1010&lt;=40),1, IF(AND(I1010&gt;40,I1010&lt;=60),2,IF(AND(I1010&gt;60,I1010&lt;=80),3, IF(AND(I1010&gt;80,I1010&lt;=100),4,”5”)))))</f>
        <v>1</v>
      </c>
    </row>
    <row r="1011" spans="1:10" x14ac:dyDescent="0.3">
      <c r="A1011" t="str">
        <f t="shared" si="21"/>
        <v>59040_80</v>
      </c>
      <c r="B1011">
        <f>VLOOKUP(C1011,[1]lookuptable!$A$1:$C$7,2,0)</f>
        <v>59040</v>
      </c>
      <c r="C1011" t="s">
        <v>19</v>
      </c>
      <c r="D1011" s="1">
        <v>80</v>
      </c>
      <c r="E1011">
        <v>2</v>
      </c>
      <c r="F1011">
        <v>101</v>
      </c>
      <c r="G1011">
        <v>103</v>
      </c>
      <c r="H1011">
        <v>438</v>
      </c>
      <c r="I1011" s="2">
        <v>23.515981740000001</v>
      </c>
      <c r="J1011" cm="1">
        <f t="array" ref="J1011">IF(AND(I1011&gt;=0,I1011&lt;=20),0,IF(AND(I1011&gt;20,I1011&lt;=40),1, IF(AND(I1011&gt;40,I1011&lt;=60),2,IF(AND(I1011&gt;60,I1011&lt;=80),3, IF(AND(I1011&gt;80,I1011&lt;=100),4,”5”)))))</f>
        <v>1</v>
      </c>
    </row>
    <row r="1012" spans="1:10" x14ac:dyDescent="0.3">
      <c r="A1012" t="str">
        <f t="shared" si="21"/>
        <v>59040_81</v>
      </c>
      <c r="B1012">
        <f>VLOOKUP(C1012,[1]lookuptable!$A$1:$C$7,2,0)</f>
        <v>59040</v>
      </c>
      <c r="C1012" t="s">
        <v>19</v>
      </c>
      <c r="D1012" s="1">
        <v>81</v>
      </c>
      <c r="E1012">
        <v>3</v>
      </c>
      <c r="F1012">
        <v>138</v>
      </c>
      <c r="G1012">
        <v>141</v>
      </c>
      <c r="H1012">
        <v>455</v>
      </c>
      <c r="I1012" s="2">
        <v>30.989010990000001</v>
      </c>
      <c r="J1012" cm="1">
        <f t="array" ref="J1012">IF(AND(I1012&gt;=0,I1012&lt;=20),0,IF(AND(I1012&gt;20,I1012&lt;=40),1, IF(AND(I1012&gt;40,I1012&lt;=60),2,IF(AND(I1012&gt;60,I1012&lt;=80),3, IF(AND(I1012&gt;80,I1012&lt;=100),4,”5”)))))</f>
        <v>1</v>
      </c>
    </row>
    <row r="1013" spans="1:10" x14ac:dyDescent="0.3">
      <c r="A1013" t="str">
        <f t="shared" si="21"/>
        <v>59040_82</v>
      </c>
      <c r="B1013">
        <f>VLOOKUP(C1013,[1]lookuptable!$A$1:$C$7,2,0)</f>
        <v>59040</v>
      </c>
      <c r="C1013" t="s">
        <v>19</v>
      </c>
      <c r="D1013" s="1">
        <v>82</v>
      </c>
      <c r="E1013">
        <v>0</v>
      </c>
      <c r="F1013">
        <v>138</v>
      </c>
      <c r="G1013">
        <v>138</v>
      </c>
      <c r="H1013">
        <v>470</v>
      </c>
      <c r="I1013" s="2">
        <v>29.361702130000001</v>
      </c>
      <c r="J1013" cm="1">
        <f t="array" ref="J1013">IF(AND(I1013&gt;=0,I1013&lt;=20),0,IF(AND(I1013&gt;20,I1013&lt;=40),1, IF(AND(I1013&gt;40,I1013&lt;=60),2,IF(AND(I1013&gt;60,I1013&lt;=80),3, IF(AND(I1013&gt;80,I1013&lt;=100),4,”5”)))))</f>
        <v>1</v>
      </c>
    </row>
    <row r="1014" spans="1:10" x14ac:dyDescent="0.3">
      <c r="A1014" t="str">
        <f t="shared" si="21"/>
        <v>59040_83</v>
      </c>
      <c r="B1014">
        <f>VLOOKUP(C1014,[1]lookuptable!$A$1:$C$7,2,0)</f>
        <v>59040</v>
      </c>
      <c r="C1014" t="s">
        <v>19</v>
      </c>
      <c r="D1014" s="1">
        <v>83</v>
      </c>
      <c r="E1014">
        <v>2</v>
      </c>
      <c r="F1014">
        <v>115</v>
      </c>
      <c r="G1014">
        <v>117</v>
      </c>
      <c r="H1014">
        <v>408</v>
      </c>
      <c r="I1014" s="2">
        <v>28.676470590000001</v>
      </c>
      <c r="J1014" cm="1">
        <f t="array" ref="J1014">IF(AND(I1014&gt;=0,I1014&lt;=20),0,IF(AND(I1014&gt;20,I1014&lt;=40),1, IF(AND(I1014&gt;40,I1014&lt;=60),2,IF(AND(I1014&gt;60,I1014&lt;=80),3, IF(AND(I1014&gt;80,I1014&lt;=100),4,”5”)))))</f>
        <v>1</v>
      </c>
    </row>
    <row r="1015" spans="1:10" x14ac:dyDescent="0.3">
      <c r="A1015" t="str">
        <f t="shared" si="21"/>
        <v>59040_84</v>
      </c>
      <c r="B1015">
        <f>VLOOKUP(C1015,[1]lookuptable!$A$1:$C$7,2,0)</f>
        <v>59040</v>
      </c>
      <c r="C1015" t="s">
        <v>19</v>
      </c>
      <c r="D1015" s="1">
        <v>84</v>
      </c>
      <c r="E1015">
        <v>0</v>
      </c>
      <c r="F1015">
        <v>130</v>
      </c>
      <c r="G1015">
        <v>130</v>
      </c>
      <c r="H1015">
        <v>511</v>
      </c>
      <c r="I1015" s="2">
        <v>25.440313110000002</v>
      </c>
      <c r="J1015" cm="1">
        <f t="array" ref="J1015">IF(AND(I1015&gt;=0,I1015&lt;=20),0,IF(AND(I1015&gt;20,I1015&lt;=40),1, IF(AND(I1015&gt;40,I1015&lt;=60),2,IF(AND(I1015&gt;60,I1015&lt;=80),3, IF(AND(I1015&gt;80,I1015&lt;=100),4,”5”)))))</f>
        <v>1</v>
      </c>
    </row>
    <row r="1016" spans="1:10" x14ac:dyDescent="0.3">
      <c r="A1016" t="str">
        <f t="shared" si="21"/>
        <v>59040_85</v>
      </c>
      <c r="B1016">
        <f>VLOOKUP(C1016,[1]lookuptable!$A$1:$C$7,2,0)</f>
        <v>59040</v>
      </c>
      <c r="C1016" t="s">
        <v>19</v>
      </c>
      <c r="D1016" s="1">
        <v>85</v>
      </c>
      <c r="E1016">
        <v>1</v>
      </c>
      <c r="F1016">
        <v>81</v>
      </c>
      <c r="G1016">
        <v>82</v>
      </c>
      <c r="H1016">
        <v>433</v>
      </c>
      <c r="I1016" s="2">
        <v>18.937644339999999</v>
      </c>
      <c r="J1016" cm="1">
        <f t="array" ref="J1016">IF(AND(I1016&gt;=0,I1016&lt;=20),0,IF(AND(I1016&gt;20,I1016&lt;=40),1, IF(AND(I1016&gt;40,I1016&lt;=60),2,IF(AND(I1016&gt;60,I1016&lt;=80),3, IF(AND(I1016&gt;80,I1016&lt;=100),4,”5”)))))</f>
        <v>0</v>
      </c>
    </row>
    <row r="1017" spans="1:10" x14ac:dyDescent="0.3">
      <c r="A1017" t="str">
        <f t="shared" si="21"/>
        <v>59040_86</v>
      </c>
      <c r="B1017">
        <f>VLOOKUP(C1017,[1]lookuptable!$A$1:$C$7,2,0)</f>
        <v>59040</v>
      </c>
      <c r="C1017" t="s">
        <v>19</v>
      </c>
      <c r="D1017" s="1">
        <v>86</v>
      </c>
      <c r="E1017">
        <v>2</v>
      </c>
      <c r="F1017">
        <v>83</v>
      </c>
      <c r="G1017">
        <v>85</v>
      </c>
      <c r="H1017">
        <v>380</v>
      </c>
      <c r="I1017" s="2">
        <v>22.368421049999998</v>
      </c>
      <c r="J1017" cm="1">
        <f t="array" ref="J1017">IF(AND(I1017&gt;=0,I1017&lt;=20),0,IF(AND(I1017&gt;20,I1017&lt;=40),1, IF(AND(I1017&gt;40,I1017&lt;=60),2,IF(AND(I1017&gt;60,I1017&lt;=80),3, IF(AND(I1017&gt;80,I1017&lt;=100),4,”5”)))))</f>
        <v>1</v>
      </c>
    </row>
    <row r="1018" spans="1:10" x14ac:dyDescent="0.3">
      <c r="A1018" t="str">
        <f t="shared" si="21"/>
        <v>59040_87</v>
      </c>
      <c r="B1018">
        <f>VLOOKUP(C1018,[1]lookuptable!$A$1:$C$7,2,0)</f>
        <v>59040</v>
      </c>
      <c r="C1018" t="s">
        <v>19</v>
      </c>
      <c r="D1018" s="1">
        <v>87</v>
      </c>
      <c r="E1018">
        <v>1</v>
      </c>
      <c r="F1018">
        <v>148</v>
      </c>
      <c r="G1018">
        <v>149</v>
      </c>
      <c r="H1018">
        <v>422</v>
      </c>
      <c r="I1018" s="2">
        <v>35.308056870000001</v>
      </c>
      <c r="J1018" cm="1">
        <f t="array" ref="J1018">IF(AND(I1018&gt;=0,I1018&lt;=20),0,IF(AND(I1018&gt;20,I1018&lt;=40),1, IF(AND(I1018&gt;40,I1018&lt;=60),2,IF(AND(I1018&gt;60,I1018&lt;=80),3, IF(AND(I1018&gt;80,I1018&lt;=100),4,”5”)))))</f>
        <v>1</v>
      </c>
    </row>
    <row r="1019" spans="1:10" x14ac:dyDescent="0.3">
      <c r="A1019" t="str">
        <f t="shared" si="21"/>
        <v>59040_88</v>
      </c>
      <c r="B1019">
        <f>VLOOKUP(C1019,[1]lookuptable!$A$1:$C$7,2,0)</f>
        <v>59040</v>
      </c>
      <c r="C1019" t="s">
        <v>19</v>
      </c>
      <c r="D1019" s="1">
        <v>88</v>
      </c>
      <c r="E1019">
        <v>0</v>
      </c>
      <c r="F1019">
        <v>124</v>
      </c>
      <c r="G1019">
        <v>124</v>
      </c>
      <c r="H1019">
        <v>424</v>
      </c>
      <c r="I1019" s="2">
        <v>29.245283019999999</v>
      </c>
      <c r="J1019" cm="1">
        <f t="array" ref="J1019">IF(AND(I1019&gt;=0,I1019&lt;=20),0,IF(AND(I1019&gt;20,I1019&lt;=40),1, IF(AND(I1019&gt;40,I1019&lt;=60),2,IF(AND(I1019&gt;60,I1019&lt;=80),3, IF(AND(I1019&gt;80,I1019&lt;=100),4,”5”)))))</f>
        <v>1</v>
      </c>
    </row>
    <row r="1020" spans="1:10" x14ac:dyDescent="0.3">
      <c r="A1020" t="str">
        <f t="shared" si="21"/>
        <v>59040_89</v>
      </c>
      <c r="B1020">
        <f>VLOOKUP(C1020,[1]lookuptable!$A$1:$C$7,2,0)</f>
        <v>59040</v>
      </c>
      <c r="C1020" t="s">
        <v>19</v>
      </c>
      <c r="D1020" s="1">
        <v>89</v>
      </c>
      <c r="E1020">
        <v>2</v>
      </c>
      <c r="F1020">
        <v>119</v>
      </c>
      <c r="G1020">
        <v>121</v>
      </c>
      <c r="H1020">
        <v>397</v>
      </c>
      <c r="I1020" s="2">
        <v>30.478589419999999</v>
      </c>
      <c r="J1020" cm="1">
        <f t="array" ref="J1020">IF(AND(I1020&gt;=0,I1020&lt;=20),0,IF(AND(I1020&gt;20,I1020&lt;=40),1, IF(AND(I1020&gt;40,I1020&lt;=60),2,IF(AND(I1020&gt;60,I1020&lt;=80),3, IF(AND(I1020&gt;80,I1020&lt;=100),4,”5”)))))</f>
        <v>1</v>
      </c>
    </row>
    <row r="1021" spans="1:10" x14ac:dyDescent="0.3">
      <c r="A1021" t="str">
        <f t="shared" si="21"/>
        <v>59040_90</v>
      </c>
      <c r="B1021">
        <f>VLOOKUP(C1021,[1]lookuptable!$A$1:$C$7,2,0)</f>
        <v>59040</v>
      </c>
      <c r="C1021" t="s">
        <v>19</v>
      </c>
      <c r="D1021" s="1">
        <v>90</v>
      </c>
      <c r="E1021">
        <v>2</v>
      </c>
      <c r="F1021">
        <v>164</v>
      </c>
      <c r="G1021">
        <v>166</v>
      </c>
      <c r="H1021">
        <v>455</v>
      </c>
      <c r="I1021" s="2">
        <v>36.483516479999999</v>
      </c>
      <c r="J1021" cm="1">
        <f t="array" ref="J1021">IF(AND(I1021&gt;=0,I1021&lt;=20),0,IF(AND(I1021&gt;20,I1021&lt;=40),1, IF(AND(I1021&gt;40,I1021&lt;=60),2,IF(AND(I1021&gt;60,I1021&lt;=80),3, IF(AND(I1021&gt;80,I1021&lt;=100),4,”5”)))))</f>
        <v>1</v>
      </c>
    </row>
    <row r="1022" spans="1:10" x14ac:dyDescent="0.3">
      <c r="A1022" t="str">
        <f t="shared" si="21"/>
        <v>59040_91</v>
      </c>
      <c r="B1022">
        <f>VLOOKUP(C1022,[1]lookuptable!$A$1:$C$7,2,0)</f>
        <v>59040</v>
      </c>
      <c r="C1022" t="s">
        <v>19</v>
      </c>
      <c r="D1022" s="1">
        <v>91</v>
      </c>
      <c r="E1022">
        <v>5</v>
      </c>
      <c r="F1022">
        <v>98</v>
      </c>
      <c r="G1022">
        <v>103</v>
      </c>
      <c r="H1022">
        <v>416</v>
      </c>
      <c r="I1022" s="2">
        <v>24.75961538</v>
      </c>
      <c r="J1022" cm="1">
        <f t="array" ref="J1022">IF(AND(I1022&gt;=0,I1022&lt;=20),0,IF(AND(I1022&gt;20,I1022&lt;=40),1, IF(AND(I1022&gt;40,I1022&lt;=60),2,IF(AND(I1022&gt;60,I1022&lt;=80),3, IF(AND(I1022&gt;80,I1022&lt;=100),4,”5”)))))</f>
        <v>1</v>
      </c>
    </row>
    <row r="1023" spans="1:10" x14ac:dyDescent="0.3">
      <c r="A1023" t="str">
        <f t="shared" si="21"/>
        <v>59040_92</v>
      </c>
      <c r="B1023">
        <f>VLOOKUP(C1023,[1]lookuptable!$A$1:$C$7,2,0)</f>
        <v>59040</v>
      </c>
      <c r="C1023" t="s">
        <v>19</v>
      </c>
      <c r="D1023" s="1">
        <v>92</v>
      </c>
      <c r="E1023">
        <v>0</v>
      </c>
      <c r="F1023">
        <v>93</v>
      </c>
      <c r="G1023">
        <v>93</v>
      </c>
      <c r="H1023">
        <v>412</v>
      </c>
      <c r="I1023" s="2">
        <v>22.57281553</v>
      </c>
      <c r="J1023" cm="1">
        <f t="array" ref="J1023">IF(AND(I1023&gt;=0,I1023&lt;=20),0,IF(AND(I1023&gt;20,I1023&lt;=40),1, IF(AND(I1023&gt;40,I1023&lt;=60),2,IF(AND(I1023&gt;60,I1023&lt;=80),3, IF(AND(I1023&gt;80,I1023&lt;=100),4,”5”)))))</f>
        <v>1</v>
      </c>
    </row>
    <row r="1024" spans="1:10" x14ac:dyDescent="0.3">
      <c r="A1024" t="str">
        <f t="shared" si="21"/>
        <v>59040_93</v>
      </c>
      <c r="B1024">
        <f>VLOOKUP(C1024,[1]lookuptable!$A$1:$C$7,2,0)</f>
        <v>59040</v>
      </c>
      <c r="C1024" t="s">
        <v>19</v>
      </c>
      <c r="D1024" s="1">
        <v>93</v>
      </c>
      <c r="E1024">
        <v>0</v>
      </c>
      <c r="F1024">
        <v>113</v>
      </c>
      <c r="G1024">
        <v>113</v>
      </c>
      <c r="H1024">
        <v>430</v>
      </c>
      <c r="I1024" s="2">
        <v>26.27906977</v>
      </c>
      <c r="J1024" cm="1">
        <f t="array" ref="J1024">IF(AND(I1024&gt;=0,I1024&lt;=20),0,IF(AND(I1024&gt;20,I1024&lt;=40),1, IF(AND(I1024&gt;40,I1024&lt;=60),2,IF(AND(I1024&gt;60,I1024&lt;=80),3, IF(AND(I1024&gt;80,I1024&lt;=100),4,”5”)))))</f>
        <v>1</v>
      </c>
    </row>
    <row r="1025" spans="1:10" x14ac:dyDescent="0.3">
      <c r="A1025" t="str">
        <f t="shared" si="21"/>
        <v>59040_94</v>
      </c>
      <c r="B1025">
        <f>VLOOKUP(C1025,[1]lookuptable!$A$1:$C$7,2,0)</f>
        <v>59040</v>
      </c>
      <c r="C1025" t="s">
        <v>19</v>
      </c>
      <c r="D1025" s="1">
        <v>94</v>
      </c>
      <c r="E1025">
        <v>2</v>
      </c>
      <c r="F1025">
        <v>105</v>
      </c>
      <c r="G1025">
        <v>107</v>
      </c>
      <c r="H1025">
        <v>421</v>
      </c>
      <c r="I1025" s="2">
        <v>25.415676959999999</v>
      </c>
      <c r="J1025" cm="1">
        <f t="array" ref="J1025">IF(AND(I1025&gt;=0,I1025&lt;=20),0,IF(AND(I1025&gt;20,I1025&lt;=40),1, IF(AND(I1025&gt;40,I1025&lt;=60),2,IF(AND(I1025&gt;60,I1025&lt;=80),3, IF(AND(I1025&gt;80,I1025&lt;=100),4,”5”)))))</f>
        <v>1</v>
      </c>
    </row>
    <row r="1026" spans="1:10" x14ac:dyDescent="0.3">
      <c r="A1026" t="str">
        <f t="shared" ref="A1026:A1089" si="22">CONCATENATE(B1026,"_",D1026)</f>
        <v>59040_95</v>
      </c>
      <c r="B1026">
        <f>VLOOKUP(C1026,[1]lookuptable!$A$1:$C$7,2,0)</f>
        <v>59040</v>
      </c>
      <c r="C1026" t="s">
        <v>19</v>
      </c>
      <c r="D1026" s="1">
        <v>95</v>
      </c>
      <c r="E1026">
        <v>1</v>
      </c>
      <c r="F1026">
        <v>99</v>
      </c>
      <c r="G1026">
        <v>100</v>
      </c>
      <c r="H1026">
        <v>436</v>
      </c>
      <c r="I1026" s="2">
        <v>22.93577982</v>
      </c>
      <c r="J1026" cm="1">
        <f t="array" ref="J1026">IF(AND(I1026&gt;=0,I1026&lt;=20),0,IF(AND(I1026&gt;20,I1026&lt;=40),1, IF(AND(I1026&gt;40,I1026&lt;=60),2,IF(AND(I1026&gt;60,I1026&lt;=80),3, IF(AND(I1026&gt;80,I1026&lt;=100),4,”5”)))))</f>
        <v>1</v>
      </c>
    </row>
    <row r="1027" spans="1:10" x14ac:dyDescent="0.3">
      <c r="A1027" t="str">
        <f t="shared" si="22"/>
        <v>59040_96</v>
      </c>
      <c r="B1027">
        <f>VLOOKUP(C1027,[1]lookuptable!$A$1:$C$7,2,0)</f>
        <v>59040</v>
      </c>
      <c r="C1027" t="s">
        <v>19</v>
      </c>
      <c r="D1027" s="1">
        <v>96</v>
      </c>
      <c r="E1027">
        <v>0</v>
      </c>
      <c r="F1027">
        <v>119</v>
      </c>
      <c r="G1027">
        <v>119</v>
      </c>
      <c r="H1027">
        <v>447</v>
      </c>
      <c r="I1027" s="2">
        <v>26.621923939999999</v>
      </c>
      <c r="J1027" cm="1">
        <f t="array" ref="J1027">IF(AND(I1027&gt;=0,I1027&lt;=20),0,IF(AND(I1027&gt;20,I1027&lt;=40),1, IF(AND(I1027&gt;40,I1027&lt;=60),2,IF(AND(I1027&gt;60,I1027&lt;=80),3, IF(AND(I1027&gt;80,I1027&lt;=100),4,”5”)))))</f>
        <v>1</v>
      </c>
    </row>
    <row r="1028" spans="1:10" x14ac:dyDescent="0.3">
      <c r="A1028" t="str">
        <f t="shared" si="22"/>
        <v>59040_97</v>
      </c>
      <c r="B1028">
        <f>VLOOKUP(C1028,[1]lookuptable!$A$1:$C$7,2,0)</f>
        <v>59040</v>
      </c>
      <c r="C1028" t="s">
        <v>19</v>
      </c>
      <c r="D1028" s="1">
        <v>97</v>
      </c>
      <c r="E1028">
        <v>0</v>
      </c>
      <c r="F1028">
        <v>116</v>
      </c>
      <c r="G1028">
        <v>116</v>
      </c>
      <c r="H1028">
        <v>364</v>
      </c>
      <c r="I1028" s="2">
        <v>31.868131869999999</v>
      </c>
      <c r="J1028" cm="1">
        <f t="array" ref="J1028">IF(AND(I1028&gt;=0,I1028&lt;=20),0,IF(AND(I1028&gt;20,I1028&lt;=40),1, IF(AND(I1028&gt;40,I1028&lt;=60),2,IF(AND(I1028&gt;60,I1028&lt;=80),3, IF(AND(I1028&gt;80,I1028&lt;=100),4,”5”)))))</f>
        <v>1</v>
      </c>
    </row>
    <row r="1029" spans="1:10" x14ac:dyDescent="0.3">
      <c r="A1029" t="str">
        <f t="shared" si="22"/>
        <v>59040_98</v>
      </c>
      <c r="B1029">
        <f>VLOOKUP(C1029,[1]lookuptable!$A$1:$C$7,2,0)</f>
        <v>59040</v>
      </c>
      <c r="C1029" t="s">
        <v>19</v>
      </c>
      <c r="D1029" s="1">
        <v>98</v>
      </c>
      <c r="E1029">
        <v>0</v>
      </c>
      <c r="F1029">
        <v>122</v>
      </c>
      <c r="G1029">
        <v>122</v>
      </c>
      <c r="H1029">
        <v>322</v>
      </c>
      <c r="I1029" s="2">
        <v>37.888198760000002</v>
      </c>
      <c r="J1029" cm="1">
        <f t="array" ref="J1029">IF(AND(I1029&gt;=0,I1029&lt;=20),0,IF(AND(I1029&gt;20,I1029&lt;=40),1, IF(AND(I1029&gt;40,I1029&lt;=60),2,IF(AND(I1029&gt;60,I1029&lt;=80),3, IF(AND(I1029&gt;80,I1029&lt;=100),4,”5”)))))</f>
        <v>1</v>
      </c>
    </row>
    <row r="1030" spans="1:10" x14ac:dyDescent="0.3">
      <c r="A1030" t="str">
        <f t="shared" si="22"/>
        <v>59040_99</v>
      </c>
      <c r="B1030">
        <f>VLOOKUP(C1030,[1]lookuptable!$A$1:$C$7,2,0)</f>
        <v>59040</v>
      </c>
      <c r="C1030" t="s">
        <v>19</v>
      </c>
      <c r="D1030" s="1">
        <v>99</v>
      </c>
      <c r="E1030">
        <v>3</v>
      </c>
      <c r="F1030">
        <v>124</v>
      </c>
      <c r="G1030">
        <v>127</v>
      </c>
      <c r="H1030">
        <v>405</v>
      </c>
      <c r="I1030" s="2">
        <v>31.358024690000001</v>
      </c>
      <c r="J1030" cm="1">
        <f t="array" ref="J1030">IF(AND(I1030&gt;=0,I1030&lt;=20),0,IF(AND(I1030&gt;20,I1030&lt;=40),1, IF(AND(I1030&gt;40,I1030&lt;=60),2,IF(AND(I1030&gt;60,I1030&lt;=80),3, IF(AND(I1030&gt;80,I1030&lt;=100),4,”5”)))))</f>
        <v>1</v>
      </c>
    </row>
    <row r="1031" spans="1:10" x14ac:dyDescent="0.3">
      <c r="A1031" t="str">
        <f t="shared" si="22"/>
        <v>59040_100</v>
      </c>
      <c r="B1031">
        <f>VLOOKUP(C1031,[1]lookuptable!$A$1:$C$7,2,0)</f>
        <v>59040</v>
      </c>
      <c r="C1031" t="s">
        <v>19</v>
      </c>
      <c r="D1031" s="1">
        <v>100</v>
      </c>
      <c r="E1031">
        <v>0</v>
      </c>
      <c r="F1031">
        <v>127</v>
      </c>
      <c r="G1031">
        <v>127</v>
      </c>
      <c r="H1031">
        <v>423</v>
      </c>
      <c r="I1031" s="2">
        <v>30.023640660000002</v>
      </c>
      <c r="J1031" cm="1">
        <f t="array" ref="J1031">IF(AND(I1031&gt;=0,I1031&lt;=20),0,IF(AND(I1031&gt;20,I1031&lt;=40),1, IF(AND(I1031&gt;40,I1031&lt;=60),2,IF(AND(I1031&gt;60,I1031&lt;=80),3, IF(AND(I1031&gt;80,I1031&lt;=100),4,”5”)))))</f>
        <v>1</v>
      </c>
    </row>
    <row r="1032" spans="1:10" x14ac:dyDescent="0.3">
      <c r="A1032" t="str">
        <f t="shared" si="22"/>
        <v>59040_101</v>
      </c>
      <c r="B1032">
        <f>VLOOKUP(C1032,[1]lookuptable!$A$1:$C$7,2,0)</f>
        <v>59040</v>
      </c>
      <c r="C1032" t="s">
        <v>19</v>
      </c>
      <c r="D1032" s="1">
        <v>101</v>
      </c>
      <c r="E1032">
        <v>0</v>
      </c>
      <c r="F1032">
        <v>177</v>
      </c>
      <c r="G1032">
        <v>177</v>
      </c>
      <c r="H1032">
        <v>465</v>
      </c>
      <c r="I1032" s="2">
        <v>38.064516130000001</v>
      </c>
      <c r="J1032" cm="1">
        <f t="array" ref="J1032">IF(AND(I1032&gt;=0,I1032&lt;=20),0,IF(AND(I1032&gt;20,I1032&lt;=40),1, IF(AND(I1032&gt;40,I1032&lt;=60),2,IF(AND(I1032&gt;60,I1032&lt;=80),3, IF(AND(I1032&gt;80,I1032&lt;=100),4,”5”)))))</f>
        <v>1</v>
      </c>
    </row>
    <row r="1033" spans="1:10" x14ac:dyDescent="0.3">
      <c r="A1033" t="str">
        <f t="shared" si="22"/>
        <v>59040_102</v>
      </c>
      <c r="B1033">
        <f>VLOOKUP(C1033,[1]lookuptable!$A$1:$C$7,2,0)</f>
        <v>59040</v>
      </c>
      <c r="C1033" t="s">
        <v>19</v>
      </c>
      <c r="D1033" s="1">
        <v>102</v>
      </c>
      <c r="E1033">
        <v>0</v>
      </c>
      <c r="F1033">
        <v>142</v>
      </c>
      <c r="G1033">
        <v>142</v>
      </c>
      <c r="H1033">
        <v>406</v>
      </c>
      <c r="I1033" s="2">
        <v>34.975369460000003</v>
      </c>
      <c r="J1033" cm="1">
        <f t="array" ref="J1033">IF(AND(I1033&gt;=0,I1033&lt;=20),0,IF(AND(I1033&gt;20,I1033&lt;=40),1, IF(AND(I1033&gt;40,I1033&lt;=60),2,IF(AND(I1033&gt;60,I1033&lt;=80),3, IF(AND(I1033&gt;80,I1033&lt;=100),4,”5”)))))</f>
        <v>1</v>
      </c>
    </row>
    <row r="1034" spans="1:10" x14ac:dyDescent="0.3">
      <c r="A1034" t="str">
        <f t="shared" si="22"/>
        <v>59040_103</v>
      </c>
      <c r="B1034">
        <f>VLOOKUP(C1034,[1]lookuptable!$A$1:$C$7,2,0)</f>
        <v>59040</v>
      </c>
      <c r="C1034" t="s">
        <v>19</v>
      </c>
      <c r="D1034" s="1">
        <v>103</v>
      </c>
      <c r="E1034">
        <v>1</v>
      </c>
      <c r="F1034">
        <v>99</v>
      </c>
      <c r="G1034">
        <v>100</v>
      </c>
      <c r="H1034">
        <v>332</v>
      </c>
      <c r="I1034" s="2">
        <v>30.12048193</v>
      </c>
      <c r="J1034" cm="1">
        <f t="array" ref="J1034">IF(AND(I1034&gt;=0,I1034&lt;=20),0,IF(AND(I1034&gt;20,I1034&lt;=40),1, IF(AND(I1034&gt;40,I1034&lt;=60),2,IF(AND(I1034&gt;60,I1034&lt;=80),3, IF(AND(I1034&gt;80,I1034&lt;=100),4,”5”)))))</f>
        <v>1</v>
      </c>
    </row>
    <row r="1035" spans="1:10" x14ac:dyDescent="0.3">
      <c r="A1035" t="str">
        <f t="shared" si="22"/>
        <v>59040_104</v>
      </c>
      <c r="B1035">
        <f>VLOOKUP(C1035,[1]lookuptable!$A$1:$C$7,2,0)</f>
        <v>59040</v>
      </c>
      <c r="C1035" t="s">
        <v>19</v>
      </c>
      <c r="D1035" s="1">
        <v>104</v>
      </c>
      <c r="E1035">
        <v>3</v>
      </c>
      <c r="F1035">
        <v>181</v>
      </c>
      <c r="G1035">
        <v>184</v>
      </c>
      <c r="H1035">
        <v>480</v>
      </c>
      <c r="I1035" s="2">
        <v>38.333333330000002</v>
      </c>
      <c r="J1035" cm="1">
        <f t="array" ref="J1035">IF(AND(I1035&gt;=0,I1035&lt;=20),0,IF(AND(I1035&gt;20,I1035&lt;=40),1, IF(AND(I1035&gt;40,I1035&lt;=60),2,IF(AND(I1035&gt;60,I1035&lt;=80),3, IF(AND(I1035&gt;80,I1035&lt;=100),4,”5”)))))</f>
        <v>1</v>
      </c>
    </row>
    <row r="1036" spans="1:10" x14ac:dyDescent="0.3">
      <c r="A1036" t="str">
        <f t="shared" si="22"/>
        <v>59040_105</v>
      </c>
      <c r="B1036">
        <f>VLOOKUP(C1036,[1]lookuptable!$A$1:$C$7,2,0)</f>
        <v>59040</v>
      </c>
      <c r="C1036" t="s">
        <v>19</v>
      </c>
      <c r="D1036" s="1">
        <v>105</v>
      </c>
      <c r="E1036">
        <v>1</v>
      </c>
      <c r="F1036">
        <v>186</v>
      </c>
      <c r="G1036">
        <v>187</v>
      </c>
      <c r="H1036">
        <v>497</v>
      </c>
      <c r="I1036" s="2">
        <v>37.625754530000002</v>
      </c>
      <c r="J1036" cm="1">
        <f t="array" ref="J1036">IF(AND(I1036&gt;=0,I1036&lt;=20),0,IF(AND(I1036&gt;20,I1036&lt;=40),1, IF(AND(I1036&gt;40,I1036&lt;=60),2,IF(AND(I1036&gt;60,I1036&lt;=80),3, IF(AND(I1036&gt;80,I1036&lt;=100),4,”5”)))))</f>
        <v>1</v>
      </c>
    </row>
    <row r="1037" spans="1:10" x14ac:dyDescent="0.3">
      <c r="A1037" t="str">
        <f t="shared" si="22"/>
        <v>59040_106</v>
      </c>
      <c r="B1037">
        <f>VLOOKUP(C1037,[1]lookuptable!$A$1:$C$7,2,0)</f>
        <v>59040</v>
      </c>
      <c r="C1037" t="s">
        <v>19</v>
      </c>
      <c r="D1037" s="1">
        <v>106</v>
      </c>
      <c r="E1037">
        <v>0</v>
      </c>
      <c r="F1037">
        <v>121</v>
      </c>
      <c r="G1037">
        <v>121</v>
      </c>
      <c r="H1037">
        <v>409</v>
      </c>
      <c r="I1037" s="2">
        <v>29.584352079999999</v>
      </c>
      <c r="J1037" cm="1">
        <f t="array" ref="J1037">IF(AND(I1037&gt;=0,I1037&lt;=20),0,IF(AND(I1037&gt;20,I1037&lt;=40),1, IF(AND(I1037&gt;40,I1037&lt;=60),2,IF(AND(I1037&gt;60,I1037&lt;=80),3, IF(AND(I1037&gt;80,I1037&lt;=100),4,”5”)))))</f>
        <v>1</v>
      </c>
    </row>
    <row r="1038" spans="1:10" x14ac:dyDescent="0.3">
      <c r="A1038" t="str">
        <f t="shared" si="22"/>
        <v>59040_107</v>
      </c>
      <c r="B1038">
        <f>VLOOKUP(C1038,[1]lookuptable!$A$1:$C$7,2,0)</f>
        <v>59040</v>
      </c>
      <c r="C1038" t="s">
        <v>19</v>
      </c>
      <c r="D1038" s="1">
        <v>107</v>
      </c>
      <c r="E1038">
        <v>1</v>
      </c>
      <c r="F1038">
        <v>103</v>
      </c>
      <c r="G1038">
        <v>104</v>
      </c>
      <c r="H1038">
        <v>436</v>
      </c>
      <c r="I1038" s="2">
        <v>23.853211009999999</v>
      </c>
      <c r="J1038" cm="1">
        <f t="array" ref="J1038">IF(AND(I1038&gt;=0,I1038&lt;=20),0,IF(AND(I1038&gt;20,I1038&lt;=40),1, IF(AND(I1038&gt;40,I1038&lt;=60),2,IF(AND(I1038&gt;60,I1038&lt;=80),3, IF(AND(I1038&gt;80,I1038&lt;=100),4,”5”)))))</f>
        <v>1</v>
      </c>
    </row>
    <row r="1039" spans="1:10" x14ac:dyDescent="0.3">
      <c r="A1039" t="str">
        <f t="shared" si="22"/>
        <v>59040_108</v>
      </c>
      <c r="B1039">
        <f>VLOOKUP(C1039,[1]lookuptable!$A$1:$C$7,2,0)</f>
        <v>59040</v>
      </c>
      <c r="C1039" t="s">
        <v>19</v>
      </c>
      <c r="D1039" s="1">
        <v>108</v>
      </c>
      <c r="E1039">
        <v>1</v>
      </c>
      <c r="F1039">
        <v>115</v>
      </c>
      <c r="G1039">
        <v>116</v>
      </c>
      <c r="H1039">
        <v>467</v>
      </c>
      <c r="I1039" s="2">
        <v>24.839400430000001</v>
      </c>
      <c r="J1039" cm="1">
        <f t="array" ref="J1039">IF(AND(I1039&gt;=0,I1039&lt;=20),0,IF(AND(I1039&gt;20,I1039&lt;=40),1, IF(AND(I1039&gt;40,I1039&lt;=60),2,IF(AND(I1039&gt;60,I1039&lt;=80),3, IF(AND(I1039&gt;80,I1039&lt;=100),4,”5”)))))</f>
        <v>1</v>
      </c>
    </row>
    <row r="1040" spans="1:10" x14ac:dyDescent="0.3">
      <c r="A1040" t="str">
        <f t="shared" si="22"/>
        <v>59040_109</v>
      </c>
      <c r="B1040">
        <f>VLOOKUP(C1040,[1]lookuptable!$A$1:$C$7,2,0)</f>
        <v>59040</v>
      </c>
      <c r="C1040" t="s">
        <v>19</v>
      </c>
      <c r="D1040" s="1">
        <v>109</v>
      </c>
      <c r="E1040">
        <v>2</v>
      </c>
      <c r="F1040">
        <v>150</v>
      </c>
      <c r="G1040">
        <v>152</v>
      </c>
      <c r="H1040">
        <v>520</v>
      </c>
      <c r="I1040" s="2">
        <v>29.23076923</v>
      </c>
      <c r="J1040" cm="1">
        <f t="array" ref="J1040">IF(AND(I1040&gt;=0,I1040&lt;=20),0,IF(AND(I1040&gt;20,I1040&lt;=40),1, IF(AND(I1040&gt;40,I1040&lt;=60),2,IF(AND(I1040&gt;60,I1040&lt;=80),3, IF(AND(I1040&gt;80,I1040&lt;=100),4,”5”)))))</f>
        <v>1</v>
      </c>
    </row>
    <row r="1041" spans="1:10" x14ac:dyDescent="0.3">
      <c r="A1041" t="str">
        <f t="shared" si="22"/>
        <v>59040_110</v>
      </c>
      <c r="B1041">
        <f>VLOOKUP(C1041,[1]lookuptable!$A$1:$C$7,2,0)</f>
        <v>59040</v>
      </c>
      <c r="C1041" t="s">
        <v>19</v>
      </c>
      <c r="D1041" s="1">
        <v>110</v>
      </c>
      <c r="E1041">
        <v>1</v>
      </c>
      <c r="F1041">
        <v>124</v>
      </c>
      <c r="G1041">
        <v>125</v>
      </c>
      <c r="H1041">
        <v>483</v>
      </c>
      <c r="I1041" s="2">
        <v>25.87991718</v>
      </c>
      <c r="J1041" cm="1">
        <f t="array" ref="J1041">IF(AND(I1041&gt;=0,I1041&lt;=20),0,IF(AND(I1041&gt;20,I1041&lt;=40),1, IF(AND(I1041&gt;40,I1041&lt;=60),2,IF(AND(I1041&gt;60,I1041&lt;=80),3, IF(AND(I1041&gt;80,I1041&lt;=100),4,”5”)))))</f>
        <v>1</v>
      </c>
    </row>
    <row r="1042" spans="1:10" x14ac:dyDescent="0.3">
      <c r="A1042" t="str">
        <f t="shared" si="22"/>
        <v>59040_111</v>
      </c>
      <c r="B1042">
        <f>VLOOKUP(C1042,[1]lookuptable!$A$1:$C$7,2,0)</f>
        <v>59040</v>
      </c>
      <c r="C1042" t="s">
        <v>19</v>
      </c>
      <c r="D1042" s="1">
        <v>111</v>
      </c>
      <c r="E1042">
        <v>0</v>
      </c>
      <c r="F1042">
        <v>192</v>
      </c>
      <c r="G1042">
        <v>192</v>
      </c>
      <c r="H1042">
        <v>577</v>
      </c>
      <c r="I1042" s="2">
        <v>33.275563259999998</v>
      </c>
      <c r="J1042" cm="1">
        <f t="array" ref="J1042">IF(AND(I1042&gt;=0,I1042&lt;=20),0,IF(AND(I1042&gt;20,I1042&lt;=40),1, IF(AND(I1042&gt;40,I1042&lt;=60),2,IF(AND(I1042&gt;60,I1042&lt;=80),3, IF(AND(I1042&gt;80,I1042&lt;=100),4,”5”)))))</f>
        <v>1</v>
      </c>
    </row>
    <row r="1043" spans="1:10" x14ac:dyDescent="0.3">
      <c r="A1043" t="str">
        <f t="shared" si="22"/>
        <v>59040_112</v>
      </c>
      <c r="B1043">
        <f>VLOOKUP(C1043,[1]lookuptable!$A$1:$C$7,2,0)</f>
        <v>59040</v>
      </c>
      <c r="C1043" t="s">
        <v>19</v>
      </c>
      <c r="D1043" s="1">
        <v>112</v>
      </c>
      <c r="E1043">
        <v>0</v>
      </c>
      <c r="F1043">
        <v>124</v>
      </c>
      <c r="G1043">
        <v>124</v>
      </c>
      <c r="H1043">
        <v>503</v>
      </c>
      <c r="I1043" s="2">
        <v>24.652087479999999</v>
      </c>
      <c r="J1043" cm="1">
        <f t="array" ref="J1043">IF(AND(I1043&gt;=0,I1043&lt;=20),0,IF(AND(I1043&gt;20,I1043&lt;=40),1, IF(AND(I1043&gt;40,I1043&lt;=60),2,IF(AND(I1043&gt;60,I1043&lt;=80),3, IF(AND(I1043&gt;80,I1043&lt;=100),4,”5”)))))</f>
        <v>1</v>
      </c>
    </row>
    <row r="1044" spans="1:10" x14ac:dyDescent="0.3">
      <c r="A1044" t="str">
        <f t="shared" si="22"/>
        <v>59040_113</v>
      </c>
      <c r="B1044">
        <f>VLOOKUP(C1044,[1]lookuptable!$A$1:$C$7,2,0)</f>
        <v>59040</v>
      </c>
      <c r="C1044" t="s">
        <v>19</v>
      </c>
      <c r="D1044" s="1">
        <v>113</v>
      </c>
      <c r="E1044">
        <v>0</v>
      </c>
      <c r="F1044">
        <v>181</v>
      </c>
      <c r="G1044">
        <v>181</v>
      </c>
      <c r="H1044">
        <v>456</v>
      </c>
      <c r="I1044" s="2">
        <v>39.692982460000003</v>
      </c>
      <c r="J1044" cm="1">
        <f t="array" ref="J1044">IF(AND(I1044&gt;=0,I1044&lt;=20),0,IF(AND(I1044&gt;20,I1044&lt;=40),1, IF(AND(I1044&gt;40,I1044&lt;=60),2,IF(AND(I1044&gt;60,I1044&lt;=80),3, IF(AND(I1044&gt;80,I1044&lt;=100),4,”5”)))))</f>
        <v>1</v>
      </c>
    </row>
    <row r="1045" spans="1:10" x14ac:dyDescent="0.3">
      <c r="A1045" t="str">
        <f t="shared" si="22"/>
        <v>59040_114</v>
      </c>
      <c r="B1045">
        <f>VLOOKUP(C1045,[1]lookuptable!$A$1:$C$7,2,0)</f>
        <v>59040</v>
      </c>
      <c r="C1045" t="s">
        <v>19</v>
      </c>
      <c r="D1045" s="1">
        <v>114</v>
      </c>
      <c r="E1045">
        <v>0</v>
      </c>
      <c r="F1045">
        <v>191</v>
      </c>
      <c r="G1045">
        <v>191</v>
      </c>
      <c r="H1045">
        <v>509</v>
      </c>
      <c r="I1045" s="2">
        <v>37.524557960000003</v>
      </c>
      <c r="J1045" cm="1">
        <f t="array" ref="J1045">IF(AND(I1045&gt;=0,I1045&lt;=20),0,IF(AND(I1045&gt;20,I1045&lt;=40),1, IF(AND(I1045&gt;40,I1045&lt;=60),2,IF(AND(I1045&gt;60,I1045&lt;=80),3, IF(AND(I1045&gt;80,I1045&lt;=100),4,”5”)))))</f>
        <v>1</v>
      </c>
    </row>
    <row r="1046" spans="1:10" x14ac:dyDescent="0.3">
      <c r="A1046" t="str">
        <f t="shared" si="22"/>
        <v>59040_115</v>
      </c>
      <c r="B1046">
        <f>VLOOKUP(C1046,[1]lookuptable!$A$1:$C$7,2,0)</f>
        <v>59040</v>
      </c>
      <c r="C1046" t="s">
        <v>19</v>
      </c>
      <c r="D1046" s="1">
        <v>115</v>
      </c>
      <c r="E1046">
        <v>1</v>
      </c>
      <c r="F1046">
        <v>117</v>
      </c>
      <c r="G1046">
        <v>118</v>
      </c>
      <c r="H1046">
        <v>459</v>
      </c>
      <c r="I1046" s="2">
        <v>25.708061000000001</v>
      </c>
      <c r="J1046" cm="1">
        <f t="array" ref="J1046">IF(AND(I1046&gt;=0,I1046&lt;=20),0,IF(AND(I1046&gt;20,I1046&lt;=40),1, IF(AND(I1046&gt;40,I1046&lt;=60),2,IF(AND(I1046&gt;60,I1046&lt;=80),3, IF(AND(I1046&gt;80,I1046&lt;=100),4,”5”)))))</f>
        <v>1</v>
      </c>
    </row>
    <row r="1047" spans="1:10" x14ac:dyDescent="0.3">
      <c r="A1047" t="str">
        <f t="shared" si="22"/>
        <v>59040_116</v>
      </c>
      <c r="B1047">
        <f>VLOOKUP(C1047,[1]lookuptable!$A$1:$C$7,2,0)</f>
        <v>59040</v>
      </c>
      <c r="C1047" t="s">
        <v>19</v>
      </c>
      <c r="D1047" s="1">
        <v>116</v>
      </c>
      <c r="E1047">
        <v>1</v>
      </c>
      <c r="F1047">
        <v>187</v>
      </c>
      <c r="G1047">
        <v>188</v>
      </c>
      <c r="H1047">
        <v>470</v>
      </c>
      <c r="I1047" s="2">
        <v>40</v>
      </c>
      <c r="J1047" cm="1">
        <f t="array" ref="J1047">IF(AND(I1047&gt;=0,I1047&lt;=20),0,IF(AND(I1047&gt;20,I1047&lt;=40),1, IF(AND(I1047&gt;40,I1047&lt;=60),2,IF(AND(I1047&gt;60,I1047&lt;=80),3, IF(AND(I1047&gt;80,I1047&lt;=100),4,”5”)))))</f>
        <v>1</v>
      </c>
    </row>
    <row r="1048" spans="1:10" x14ac:dyDescent="0.3">
      <c r="A1048" t="str">
        <f t="shared" si="22"/>
        <v>59040_117</v>
      </c>
      <c r="B1048">
        <f>VLOOKUP(C1048,[1]lookuptable!$A$1:$C$7,2,0)</f>
        <v>59040</v>
      </c>
      <c r="C1048" t="s">
        <v>19</v>
      </c>
      <c r="D1048" s="1">
        <v>117</v>
      </c>
      <c r="E1048">
        <v>4</v>
      </c>
      <c r="F1048">
        <v>149</v>
      </c>
      <c r="G1048">
        <v>153</v>
      </c>
      <c r="H1048">
        <v>402</v>
      </c>
      <c r="I1048" s="2">
        <v>38.059701490000002</v>
      </c>
      <c r="J1048" cm="1">
        <f t="array" ref="J1048">IF(AND(I1048&gt;=0,I1048&lt;=20),0,IF(AND(I1048&gt;20,I1048&lt;=40),1, IF(AND(I1048&gt;40,I1048&lt;=60),2,IF(AND(I1048&gt;60,I1048&lt;=80),3, IF(AND(I1048&gt;80,I1048&lt;=100),4,”5”)))))</f>
        <v>1</v>
      </c>
    </row>
    <row r="1049" spans="1:10" x14ac:dyDescent="0.3">
      <c r="A1049" t="str">
        <f t="shared" si="22"/>
        <v>59040_118</v>
      </c>
      <c r="B1049">
        <f>VLOOKUP(C1049,[1]lookuptable!$A$1:$C$7,2,0)</f>
        <v>59040</v>
      </c>
      <c r="C1049" t="s">
        <v>19</v>
      </c>
      <c r="D1049" s="1">
        <v>118</v>
      </c>
      <c r="E1049">
        <v>1</v>
      </c>
      <c r="F1049">
        <v>107</v>
      </c>
      <c r="G1049">
        <v>108</v>
      </c>
      <c r="H1049">
        <v>351</v>
      </c>
      <c r="I1049" s="2">
        <v>30.76923077</v>
      </c>
      <c r="J1049" cm="1">
        <f t="array" ref="J1049">IF(AND(I1049&gt;=0,I1049&lt;=20),0,IF(AND(I1049&gt;20,I1049&lt;=40),1, IF(AND(I1049&gt;40,I1049&lt;=60),2,IF(AND(I1049&gt;60,I1049&lt;=80),3, IF(AND(I1049&gt;80,I1049&lt;=100),4,”5”)))))</f>
        <v>1</v>
      </c>
    </row>
    <row r="1050" spans="1:10" x14ac:dyDescent="0.3">
      <c r="A1050" t="str">
        <f t="shared" si="22"/>
        <v>59040_119</v>
      </c>
      <c r="B1050">
        <f>VLOOKUP(C1050,[1]lookuptable!$A$1:$C$7,2,0)</f>
        <v>59040</v>
      </c>
      <c r="C1050" t="s">
        <v>19</v>
      </c>
      <c r="D1050" s="1">
        <v>119</v>
      </c>
      <c r="E1050">
        <v>1</v>
      </c>
      <c r="F1050">
        <v>166</v>
      </c>
      <c r="G1050">
        <v>167</v>
      </c>
      <c r="H1050">
        <v>409</v>
      </c>
      <c r="I1050" s="2">
        <v>40.831295840000003</v>
      </c>
      <c r="J1050" cm="1">
        <f t="array" ref="J1050">IF(AND(I1050&gt;=0,I1050&lt;=20),0,IF(AND(I1050&gt;20,I1050&lt;=40),1, IF(AND(I1050&gt;40,I1050&lt;=60),2,IF(AND(I1050&gt;60,I1050&lt;=80),3, IF(AND(I1050&gt;80,I1050&lt;=100),4,”5”)))))</f>
        <v>2</v>
      </c>
    </row>
    <row r="1051" spans="1:10" x14ac:dyDescent="0.3">
      <c r="A1051" t="str">
        <f t="shared" si="22"/>
        <v>59040_120</v>
      </c>
      <c r="B1051">
        <f>VLOOKUP(C1051,[1]lookuptable!$A$1:$C$7,2,0)</f>
        <v>59040</v>
      </c>
      <c r="C1051" t="s">
        <v>19</v>
      </c>
      <c r="D1051" s="1">
        <v>120</v>
      </c>
      <c r="E1051">
        <v>2</v>
      </c>
      <c r="F1051">
        <v>139</v>
      </c>
      <c r="G1051">
        <v>141</v>
      </c>
      <c r="H1051">
        <v>395</v>
      </c>
      <c r="I1051" s="2">
        <v>35.696202530000001</v>
      </c>
      <c r="J1051" cm="1">
        <f t="array" ref="J1051">IF(AND(I1051&gt;=0,I1051&lt;=20),0,IF(AND(I1051&gt;20,I1051&lt;=40),1, IF(AND(I1051&gt;40,I1051&lt;=60),2,IF(AND(I1051&gt;60,I1051&lt;=80),3, IF(AND(I1051&gt;80,I1051&lt;=100),4,”5”)))))</f>
        <v>1</v>
      </c>
    </row>
    <row r="1052" spans="1:10" x14ac:dyDescent="0.3">
      <c r="A1052" t="str">
        <f t="shared" si="22"/>
        <v>59040_121</v>
      </c>
      <c r="B1052">
        <f>VLOOKUP(C1052,[1]lookuptable!$A$1:$C$7,2,0)</f>
        <v>59040</v>
      </c>
      <c r="C1052" t="s">
        <v>19</v>
      </c>
      <c r="D1052" s="1">
        <v>121</v>
      </c>
      <c r="E1052">
        <v>4</v>
      </c>
      <c r="F1052">
        <v>198</v>
      </c>
      <c r="G1052">
        <v>202</v>
      </c>
      <c r="H1052">
        <v>479</v>
      </c>
      <c r="I1052" s="2">
        <v>42.171189980000001</v>
      </c>
      <c r="J1052" cm="1">
        <f t="array" ref="J1052">IF(AND(I1052&gt;=0,I1052&lt;=20),0,IF(AND(I1052&gt;20,I1052&lt;=40),1, IF(AND(I1052&gt;40,I1052&lt;=60),2,IF(AND(I1052&gt;60,I1052&lt;=80),3, IF(AND(I1052&gt;80,I1052&lt;=100),4,”5”)))))</f>
        <v>2</v>
      </c>
    </row>
    <row r="1053" spans="1:10" x14ac:dyDescent="0.3">
      <c r="A1053" t="str">
        <f t="shared" si="22"/>
        <v>59040_122</v>
      </c>
      <c r="B1053">
        <f>VLOOKUP(C1053,[1]lookuptable!$A$1:$C$7,2,0)</f>
        <v>59040</v>
      </c>
      <c r="C1053" t="s">
        <v>19</v>
      </c>
      <c r="D1053" s="1">
        <v>122</v>
      </c>
      <c r="E1053">
        <v>4</v>
      </c>
      <c r="F1053">
        <v>140</v>
      </c>
      <c r="G1053">
        <v>144</v>
      </c>
      <c r="H1053">
        <v>398</v>
      </c>
      <c r="I1053" s="2">
        <v>36.180904519999999</v>
      </c>
      <c r="J1053" cm="1">
        <f t="array" ref="J1053">IF(AND(I1053&gt;=0,I1053&lt;=20),0,IF(AND(I1053&gt;20,I1053&lt;=40),1, IF(AND(I1053&gt;40,I1053&lt;=60),2,IF(AND(I1053&gt;60,I1053&lt;=80),3, IF(AND(I1053&gt;80,I1053&lt;=100),4,”5”)))))</f>
        <v>1</v>
      </c>
    </row>
    <row r="1054" spans="1:10" x14ac:dyDescent="0.3">
      <c r="A1054" t="str">
        <f t="shared" si="22"/>
        <v>59040_123</v>
      </c>
      <c r="B1054">
        <f>VLOOKUP(C1054,[1]lookuptable!$A$1:$C$7,2,0)</f>
        <v>59040</v>
      </c>
      <c r="C1054" t="s">
        <v>19</v>
      </c>
      <c r="D1054" s="1">
        <v>123</v>
      </c>
      <c r="E1054">
        <v>0</v>
      </c>
      <c r="F1054">
        <v>174</v>
      </c>
      <c r="G1054">
        <v>174</v>
      </c>
      <c r="H1054">
        <v>460</v>
      </c>
      <c r="I1054" s="2">
        <v>37.826086959999998</v>
      </c>
      <c r="J1054" cm="1">
        <f t="array" ref="J1054">IF(AND(I1054&gt;=0,I1054&lt;=20),0,IF(AND(I1054&gt;20,I1054&lt;=40),1, IF(AND(I1054&gt;40,I1054&lt;=60),2,IF(AND(I1054&gt;60,I1054&lt;=80),3, IF(AND(I1054&gt;80,I1054&lt;=100),4,”5”)))))</f>
        <v>1</v>
      </c>
    </row>
    <row r="1055" spans="1:10" x14ac:dyDescent="0.3">
      <c r="A1055" t="str">
        <f t="shared" si="22"/>
        <v>59040_124</v>
      </c>
      <c r="B1055">
        <f>VLOOKUP(C1055,[1]lookuptable!$A$1:$C$7,2,0)</f>
        <v>59040</v>
      </c>
      <c r="C1055" t="s">
        <v>19</v>
      </c>
      <c r="D1055" s="1">
        <v>124</v>
      </c>
      <c r="E1055">
        <v>3</v>
      </c>
      <c r="F1055">
        <v>127</v>
      </c>
      <c r="G1055">
        <v>130</v>
      </c>
      <c r="H1055">
        <v>453</v>
      </c>
      <c r="I1055" s="2">
        <v>28.697571740000001</v>
      </c>
      <c r="J1055" cm="1">
        <f t="array" ref="J1055">IF(AND(I1055&gt;=0,I1055&lt;=20),0,IF(AND(I1055&gt;20,I1055&lt;=40),1, IF(AND(I1055&gt;40,I1055&lt;=60),2,IF(AND(I1055&gt;60,I1055&lt;=80),3, IF(AND(I1055&gt;80,I1055&lt;=100),4,”5”)))))</f>
        <v>1</v>
      </c>
    </row>
    <row r="1056" spans="1:10" x14ac:dyDescent="0.3">
      <c r="A1056" t="str">
        <f t="shared" si="22"/>
        <v>59040_125</v>
      </c>
      <c r="B1056">
        <f>VLOOKUP(C1056,[1]lookuptable!$A$1:$C$7,2,0)</f>
        <v>59040</v>
      </c>
      <c r="C1056" t="s">
        <v>19</v>
      </c>
      <c r="D1056" s="1">
        <v>125</v>
      </c>
      <c r="E1056">
        <v>0</v>
      </c>
      <c r="F1056">
        <v>149</v>
      </c>
      <c r="G1056">
        <v>149</v>
      </c>
      <c r="H1056">
        <v>453</v>
      </c>
      <c r="I1056" s="2">
        <v>32.891832229999999</v>
      </c>
      <c r="J1056" cm="1">
        <f t="array" ref="J1056">IF(AND(I1056&gt;=0,I1056&lt;=20),0,IF(AND(I1056&gt;20,I1056&lt;=40),1, IF(AND(I1056&gt;40,I1056&lt;=60),2,IF(AND(I1056&gt;60,I1056&lt;=80),3, IF(AND(I1056&gt;80,I1056&lt;=100),4,”5”)))))</f>
        <v>1</v>
      </c>
    </row>
    <row r="1057" spans="1:10" x14ac:dyDescent="0.3">
      <c r="A1057" t="str">
        <f t="shared" si="22"/>
        <v>59040_126</v>
      </c>
      <c r="B1057">
        <f>VLOOKUP(C1057,[1]lookuptable!$A$1:$C$7,2,0)</f>
        <v>59040</v>
      </c>
      <c r="C1057" t="s">
        <v>19</v>
      </c>
      <c r="D1057" s="1">
        <v>126</v>
      </c>
      <c r="E1057">
        <v>0</v>
      </c>
      <c r="F1057">
        <v>105</v>
      </c>
      <c r="G1057">
        <v>105</v>
      </c>
      <c r="H1057">
        <v>478</v>
      </c>
      <c r="I1057" s="2">
        <v>21.966527200000002</v>
      </c>
      <c r="J1057" cm="1">
        <f t="array" ref="J1057">IF(AND(I1057&gt;=0,I1057&lt;=20),0,IF(AND(I1057&gt;20,I1057&lt;=40),1, IF(AND(I1057&gt;40,I1057&lt;=60),2,IF(AND(I1057&gt;60,I1057&lt;=80),3, IF(AND(I1057&gt;80,I1057&lt;=100),4,”5”)))))</f>
        <v>1</v>
      </c>
    </row>
    <row r="1058" spans="1:10" x14ac:dyDescent="0.3">
      <c r="A1058" t="str">
        <f t="shared" si="22"/>
        <v>59040_127</v>
      </c>
      <c r="B1058">
        <f>VLOOKUP(C1058,[1]lookuptable!$A$1:$C$7,2,0)</f>
        <v>59040</v>
      </c>
      <c r="C1058" t="s">
        <v>19</v>
      </c>
      <c r="D1058" s="1">
        <v>127</v>
      </c>
      <c r="E1058">
        <v>3</v>
      </c>
      <c r="F1058">
        <v>132</v>
      </c>
      <c r="G1058">
        <v>135</v>
      </c>
      <c r="H1058">
        <v>454</v>
      </c>
      <c r="I1058" s="2">
        <v>29.735682820000001</v>
      </c>
      <c r="J1058" cm="1">
        <f t="array" ref="J1058">IF(AND(I1058&gt;=0,I1058&lt;=20),0,IF(AND(I1058&gt;20,I1058&lt;=40),1, IF(AND(I1058&gt;40,I1058&lt;=60),2,IF(AND(I1058&gt;60,I1058&lt;=80),3, IF(AND(I1058&gt;80,I1058&lt;=100),4,”5”)))))</f>
        <v>1</v>
      </c>
    </row>
    <row r="1059" spans="1:10" x14ac:dyDescent="0.3">
      <c r="A1059" t="str">
        <f t="shared" si="22"/>
        <v>59040_128</v>
      </c>
      <c r="B1059">
        <f>VLOOKUP(C1059,[1]lookuptable!$A$1:$C$7,2,0)</f>
        <v>59040</v>
      </c>
      <c r="C1059" t="s">
        <v>19</v>
      </c>
      <c r="D1059" s="1">
        <v>128</v>
      </c>
      <c r="E1059">
        <v>2</v>
      </c>
      <c r="F1059">
        <v>155</v>
      </c>
      <c r="G1059">
        <v>157</v>
      </c>
      <c r="H1059">
        <v>526</v>
      </c>
      <c r="I1059" s="2">
        <v>29.847908749999998</v>
      </c>
      <c r="J1059" cm="1">
        <f t="array" ref="J1059">IF(AND(I1059&gt;=0,I1059&lt;=20),0,IF(AND(I1059&gt;20,I1059&lt;=40),1, IF(AND(I1059&gt;40,I1059&lt;=60),2,IF(AND(I1059&gt;60,I1059&lt;=80),3, IF(AND(I1059&gt;80,I1059&lt;=100),4,”5”)))))</f>
        <v>1</v>
      </c>
    </row>
    <row r="1060" spans="1:10" x14ac:dyDescent="0.3">
      <c r="A1060" t="str">
        <f t="shared" si="22"/>
        <v>59040_129</v>
      </c>
      <c r="B1060">
        <f>VLOOKUP(C1060,[1]lookuptable!$A$1:$C$7,2,0)</f>
        <v>59040</v>
      </c>
      <c r="C1060" t="s">
        <v>19</v>
      </c>
      <c r="D1060" s="1">
        <v>129</v>
      </c>
      <c r="E1060">
        <v>3</v>
      </c>
      <c r="F1060">
        <v>108</v>
      </c>
      <c r="G1060">
        <v>111</v>
      </c>
      <c r="H1060">
        <v>389</v>
      </c>
      <c r="I1060" s="2">
        <v>28.53470437</v>
      </c>
      <c r="J1060" cm="1">
        <f t="array" ref="J1060">IF(AND(I1060&gt;=0,I1060&lt;=20),0,IF(AND(I1060&gt;20,I1060&lt;=40),1, IF(AND(I1060&gt;40,I1060&lt;=60),2,IF(AND(I1060&gt;60,I1060&lt;=80),3, IF(AND(I1060&gt;80,I1060&lt;=100),4,”5”)))))</f>
        <v>1</v>
      </c>
    </row>
    <row r="1061" spans="1:10" x14ac:dyDescent="0.3">
      <c r="A1061" t="str">
        <f t="shared" si="22"/>
        <v>59040_130</v>
      </c>
      <c r="B1061">
        <f>VLOOKUP(C1061,[1]lookuptable!$A$1:$C$7,2,0)</f>
        <v>59040</v>
      </c>
      <c r="C1061" t="s">
        <v>19</v>
      </c>
      <c r="D1061" s="1">
        <v>130</v>
      </c>
      <c r="E1061">
        <v>2</v>
      </c>
      <c r="F1061">
        <v>109</v>
      </c>
      <c r="G1061">
        <v>111</v>
      </c>
      <c r="H1061">
        <v>448</v>
      </c>
      <c r="I1061" s="2">
        <v>24.776785709999999</v>
      </c>
      <c r="J1061" cm="1">
        <f t="array" ref="J1061">IF(AND(I1061&gt;=0,I1061&lt;=20),0,IF(AND(I1061&gt;20,I1061&lt;=40),1, IF(AND(I1061&gt;40,I1061&lt;=60),2,IF(AND(I1061&gt;60,I1061&lt;=80),3, IF(AND(I1061&gt;80,I1061&lt;=100),4,”5”)))))</f>
        <v>1</v>
      </c>
    </row>
    <row r="1062" spans="1:10" x14ac:dyDescent="0.3">
      <c r="A1062" t="str">
        <f t="shared" si="22"/>
        <v>59040_131</v>
      </c>
      <c r="B1062">
        <f>VLOOKUP(C1062,[1]lookuptable!$A$1:$C$7,2,0)</f>
        <v>59040</v>
      </c>
      <c r="C1062" t="s">
        <v>19</v>
      </c>
      <c r="D1062" s="1">
        <v>131</v>
      </c>
      <c r="E1062">
        <v>2</v>
      </c>
      <c r="F1062">
        <v>135</v>
      </c>
      <c r="G1062">
        <v>137</v>
      </c>
      <c r="H1062">
        <v>430</v>
      </c>
      <c r="I1062" s="2">
        <v>31.860465120000001</v>
      </c>
      <c r="J1062" cm="1">
        <f t="array" ref="J1062">IF(AND(I1062&gt;=0,I1062&lt;=20),0,IF(AND(I1062&gt;20,I1062&lt;=40),1, IF(AND(I1062&gt;40,I1062&lt;=60),2,IF(AND(I1062&gt;60,I1062&lt;=80),3, IF(AND(I1062&gt;80,I1062&lt;=100),4,”5”)))))</f>
        <v>1</v>
      </c>
    </row>
    <row r="1063" spans="1:10" x14ac:dyDescent="0.3">
      <c r="A1063" t="str">
        <f t="shared" si="22"/>
        <v>59040_132</v>
      </c>
      <c r="B1063">
        <f>VLOOKUP(C1063,[1]lookuptable!$A$1:$C$7,2,0)</f>
        <v>59040</v>
      </c>
      <c r="C1063" t="s">
        <v>19</v>
      </c>
      <c r="D1063" s="1">
        <v>132</v>
      </c>
      <c r="E1063">
        <v>2</v>
      </c>
      <c r="F1063">
        <v>123</v>
      </c>
      <c r="G1063">
        <v>125</v>
      </c>
      <c r="H1063">
        <v>479</v>
      </c>
      <c r="I1063" s="2">
        <v>26.0960334</v>
      </c>
      <c r="J1063" cm="1">
        <f t="array" ref="J1063">IF(AND(I1063&gt;=0,I1063&lt;=20),0,IF(AND(I1063&gt;20,I1063&lt;=40),1, IF(AND(I1063&gt;40,I1063&lt;=60),2,IF(AND(I1063&gt;60,I1063&lt;=80),3, IF(AND(I1063&gt;80,I1063&lt;=100),4,”5”)))))</f>
        <v>1</v>
      </c>
    </row>
    <row r="1064" spans="1:10" x14ac:dyDescent="0.3">
      <c r="A1064" t="str">
        <f t="shared" si="22"/>
        <v>59040_133</v>
      </c>
      <c r="B1064">
        <f>VLOOKUP(C1064,[1]lookuptable!$A$1:$C$7,2,0)</f>
        <v>59040</v>
      </c>
      <c r="C1064" t="s">
        <v>19</v>
      </c>
      <c r="D1064" s="1">
        <v>133</v>
      </c>
      <c r="E1064">
        <v>0</v>
      </c>
      <c r="F1064">
        <v>152</v>
      </c>
      <c r="G1064">
        <v>152</v>
      </c>
      <c r="H1064">
        <v>473</v>
      </c>
      <c r="I1064" s="2">
        <v>32.135306550000003</v>
      </c>
      <c r="J1064" cm="1">
        <f t="array" ref="J1064">IF(AND(I1064&gt;=0,I1064&lt;=20),0,IF(AND(I1064&gt;20,I1064&lt;=40),1, IF(AND(I1064&gt;40,I1064&lt;=60),2,IF(AND(I1064&gt;60,I1064&lt;=80),3, IF(AND(I1064&gt;80,I1064&lt;=100),4,”5”)))))</f>
        <v>1</v>
      </c>
    </row>
    <row r="1065" spans="1:10" x14ac:dyDescent="0.3">
      <c r="A1065" t="str">
        <f t="shared" si="22"/>
        <v>59040_134</v>
      </c>
      <c r="B1065">
        <f>VLOOKUP(C1065,[1]lookuptable!$A$1:$C$7,2,0)</f>
        <v>59040</v>
      </c>
      <c r="C1065" t="s">
        <v>19</v>
      </c>
      <c r="D1065" s="1">
        <v>134</v>
      </c>
      <c r="E1065">
        <v>1</v>
      </c>
      <c r="F1065">
        <v>110</v>
      </c>
      <c r="G1065">
        <v>111</v>
      </c>
      <c r="H1065">
        <v>432</v>
      </c>
      <c r="I1065" s="2">
        <v>25.694444440000002</v>
      </c>
      <c r="J1065" cm="1">
        <f t="array" ref="J1065">IF(AND(I1065&gt;=0,I1065&lt;=20),0,IF(AND(I1065&gt;20,I1065&lt;=40),1, IF(AND(I1065&gt;40,I1065&lt;=60),2,IF(AND(I1065&gt;60,I1065&lt;=80),3, IF(AND(I1065&gt;80,I1065&lt;=100),4,”5”)))))</f>
        <v>1</v>
      </c>
    </row>
    <row r="1066" spans="1:10" x14ac:dyDescent="0.3">
      <c r="A1066" t="str">
        <f t="shared" si="22"/>
        <v>59040_135</v>
      </c>
      <c r="B1066">
        <f>VLOOKUP(C1066,[1]lookuptable!$A$1:$C$7,2,0)</f>
        <v>59040</v>
      </c>
      <c r="C1066" t="s">
        <v>19</v>
      </c>
      <c r="D1066" s="1">
        <v>135</v>
      </c>
      <c r="E1066">
        <v>0</v>
      </c>
      <c r="F1066">
        <v>87</v>
      </c>
      <c r="G1066">
        <v>87</v>
      </c>
      <c r="H1066">
        <v>400</v>
      </c>
      <c r="I1066" s="2">
        <v>21.75</v>
      </c>
      <c r="J1066" cm="1">
        <f t="array" ref="J1066">IF(AND(I1066&gt;=0,I1066&lt;=20),0,IF(AND(I1066&gt;20,I1066&lt;=40),1, IF(AND(I1066&gt;40,I1066&lt;=60),2,IF(AND(I1066&gt;60,I1066&lt;=80),3, IF(AND(I1066&gt;80,I1066&lt;=100),4,”5”)))))</f>
        <v>1</v>
      </c>
    </row>
    <row r="1067" spans="1:10" x14ac:dyDescent="0.3">
      <c r="A1067" t="str">
        <f t="shared" si="22"/>
        <v>59040_136</v>
      </c>
      <c r="B1067">
        <f>VLOOKUP(C1067,[1]lookuptable!$A$1:$C$7,2,0)</f>
        <v>59040</v>
      </c>
      <c r="C1067" t="s">
        <v>19</v>
      </c>
      <c r="D1067" s="1">
        <v>136</v>
      </c>
      <c r="E1067">
        <v>0</v>
      </c>
      <c r="F1067">
        <v>104</v>
      </c>
      <c r="G1067">
        <v>104</v>
      </c>
      <c r="H1067">
        <v>425</v>
      </c>
      <c r="I1067" s="2">
        <v>24.470588240000001</v>
      </c>
      <c r="J1067" cm="1">
        <f t="array" ref="J1067">IF(AND(I1067&gt;=0,I1067&lt;=20),0,IF(AND(I1067&gt;20,I1067&lt;=40),1, IF(AND(I1067&gt;40,I1067&lt;=60),2,IF(AND(I1067&gt;60,I1067&lt;=80),3, IF(AND(I1067&gt;80,I1067&lt;=100),4,”5”)))))</f>
        <v>1</v>
      </c>
    </row>
    <row r="1068" spans="1:10" x14ac:dyDescent="0.3">
      <c r="A1068" t="str">
        <f t="shared" si="22"/>
        <v>59040_137</v>
      </c>
      <c r="B1068">
        <f>VLOOKUP(C1068,[1]lookuptable!$A$1:$C$7,2,0)</f>
        <v>59040</v>
      </c>
      <c r="C1068" t="s">
        <v>19</v>
      </c>
      <c r="D1068" s="1">
        <v>137</v>
      </c>
      <c r="E1068">
        <v>0</v>
      </c>
      <c r="F1068">
        <v>101</v>
      </c>
      <c r="G1068">
        <v>101</v>
      </c>
      <c r="H1068">
        <v>524</v>
      </c>
      <c r="I1068" s="2">
        <v>19.27480916</v>
      </c>
      <c r="J1068" cm="1">
        <f t="array" ref="J1068">IF(AND(I1068&gt;=0,I1068&lt;=20),0,IF(AND(I1068&gt;20,I1068&lt;=40),1, IF(AND(I1068&gt;40,I1068&lt;=60),2,IF(AND(I1068&gt;60,I1068&lt;=80),3, IF(AND(I1068&gt;80,I1068&lt;=100),4,”5”)))))</f>
        <v>0</v>
      </c>
    </row>
    <row r="1069" spans="1:10" x14ac:dyDescent="0.3">
      <c r="A1069" t="str">
        <f t="shared" si="22"/>
        <v>59040_138</v>
      </c>
      <c r="B1069">
        <f>VLOOKUP(C1069,[1]lookuptable!$A$1:$C$7,2,0)</f>
        <v>59040</v>
      </c>
      <c r="C1069" t="s">
        <v>19</v>
      </c>
      <c r="D1069" s="1">
        <v>138</v>
      </c>
      <c r="E1069">
        <v>1</v>
      </c>
      <c r="F1069">
        <v>93</v>
      </c>
      <c r="G1069">
        <v>94</v>
      </c>
      <c r="H1069">
        <v>387</v>
      </c>
      <c r="I1069" s="2">
        <v>24.289405680000002</v>
      </c>
      <c r="J1069" cm="1">
        <f t="array" ref="J1069">IF(AND(I1069&gt;=0,I1069&lt;=20),0,IF(AND(I1069&gt;20,I1069&lt;=40),1, IF(AND(I1069&gt;40,I1069&lt;=60),2,IF(AND(I1069&gt;60,I1069&lt;=80),3, IF(AND(I1069&gt;80,I1069&lt;=100),4,”5”)))))</f>
        <v>1</v>
      </c>
    </row>
    <row r="1070" spans="1:10" x14ac:dyDescent="0.3">
      <c r="A1070" t="str">
        <f t="shared" si="22"/>
        <v>59040_139</v>
      </c>
      <c r="B1070">
        <f>VLOOKUP(C1070,[1]lookuptable!$A$1:$C$7,2,0)</f>
        <v>59040</v>
      </c>
      <c r="C1070" t="s">
        <v>19</v>
      </c>
      <c r="D1070" s="1">
        <v>139</v>
      </c>
      <c r="E1070">
        <v>0</v>
      </c>
      <c r="F1070">
        <v>116</v>
      </c>
      <c r="G1070">
        <v>116</v>
      </c>
      <c r="H1070">
        <v>359</v>
      </c>
      <c r="I1070" s="2">
        <v>32.311977720000002</v>
      </c>
      <c r="J1070" cm="1">
        <f t="array" ref="J1070">IF(AND(I1070&gt;=0,I1070&lt;=20),0,IF(AND(I1070&gt;20,I1070&lt;=40),1, IF(AND(I1070&gt;40,I1070&lt;=60),2,IF(AND(I1070&gt;60,I1070&lt;=80),3, IF(AND(I1070&gt;80,I1070&lt;=100),4,”5”)))))</f>
        <v>1</v>
      </c>
    </row>
    <row r="1071" spans="1:10" x14ac:dyDescent="0.3">
      <c r="A1071" t="str">
        <f t="shared" si="22"/>
        <v>59040_140</v>
      </c>
      <c r="B1071">
        <f>VLOOKUP(C1071,[1]lookuptable!$A$1:$C$7,2,0)</f>
        <v>59040</v>
      </c>
      <c r="C1071" t="s">
        <v>19</v>
      </c>
      <c r="D1071" s="1">
        <v>140</v>
      </c>
      <c r="E1071">
        <v>3</v>
      </c>
      <c r="F1071">
        <v>164</v>
      </c>
      <c r="G1071">
        <v>167</v>
      </c>
      <c r="H1071">
        <v>511</v>
      </c>
      <c r="I1071" s="2">
        <v>32.681017609999998</v>
      </c>
      <c r="J1071" cm="1">
        <f t="array" ref="J1071">IF(AND(I1071&gt;=0,I1071&lt;=20),0,IF(AND(I1071&gt;20,I1071&lt;=40),1, IF(AND(I1071&gt;40,I1071&lt;=60),2,IF(AND(I1071&gt;60,I1071&lt;=80),3, IF(AND(I1071&gt;80,I1071&lt;=100),4,”5”)))))</f>
        <v>1</v>
      </c>
    </row>
    <row r="1072" spans="1:10" x14ac:dyDescent="0.3">
      <c r="A1072" t="str">
        <f t="shared" si="22"/>
        <v>59040_141</v>
      </c>
      <c r="B1072">
        <f>VLOOKUP(C1072,[1]lookuptable!$A$1:$C$7,2,0)</f>
        <v>59040</v>
      </c>
      <c r="C1072" t="s">
        <v>19</v>
      </c>
      <c r="D1072" s="1">
        <v>141</v>
      </c>
      <c r="E1072">
        <v>1</v>
      </c>
      <c r="F1072">
        <v>120</v>
      </c>
      <c r="G1072">
        <v>121</v>
      </c>
      <c r="H1072">
        <v>421</v>
      </c>
      <c r="I1072" s="2">
        <v>28.741092640000002</v>
      </c>
      <c r="J1072" cm="1">
        <f t="array" ref="J1072">IF(AND(I1072&gt;=0,I1072&lt;=20),0,IF(AND(I1072&gt;20,I1072&lt;=40),1, IF(AND(I1072&gt;40,I1072&lt;=60),2,IF(AND(I1072&gt;60,I1072&lt;=80),3, IF(AND(I1072&gt;80,I1072&lt;=100),4,”5”)))))</f>
        <v>1</v>
      </c>
    </row>
    <row r="1073" spans="1:10" x14ac:dyDescent="0.3">
      <c r="A1073" t="str">
        <f t="shared" si="22"/>
        <v>59040_142</v>
      </c>
      <c r="B1073">
        <f>VLOOKUP(C1073,[1]lookuptable!$A$1:$C$7,2,0)</f>
        <v>59040</v>
      </c>
      <c r="C1073" t="s">
        <v>19</v>
      </c>
      <c r="D1073" s="1">
        <v>142</v>
      </c>
      <c r="E1073">
        <v>0</v>
      </c>
      <c r="F1073">
        <v>91</v>
      </c>
      <c r="G1073">
        <v>91</v>
      </c>
      <c r="H1073">
        <v>312</v>
      </c>
      <c r="I1073" s="2">
        <v>29.166666670000001</v>
      </c>
      <c r="J1073" cm="1">
        <f t="array" ref="J1073">IF(AND(I1073&gt;=0,I1073&lt;=20),0,IF(AND(I1073&gt;20,I1073&lt;=40),1, IF(AND(I1073&gt;40,I1073&lt;=60),2,IF(AND(I1073&gt;60,I1073&lt;=80),3, IF(AND(I1073&gt;80,I1073&lt;=100),4,”5”)))))</f>
        <v>1</v>
      </c>
    </row>
    <row r="1074" spans="1:10" x14ac:dyDescent="0.3">
      <c r="A1074" t="str">
        <f t="shared" si="22"/>
        <v>59040_143</v>
      </c>
      <c r="B1074">
        <f>VLOOKUP(C1074,[1]lookuptable!$A$1:$C$7,2,0)</f>
        <v>59040</v>
      </c>
      <c r="C1074" t="s">
        <v>19</v>
      </c>
      <c r="D1074" s="1">
        <v>143</v>
      </c>
      <c r="E1074">
        <v>1</v>
      </c>
      <c r="F1074">
        <v>125</v>
      </c>
      <c r="G1074">
        <v>126</v>
      </c>
      <c r="H1074">
        <v>768</v>
      </c>
      <c r="I1074" s="2">
        <v>16.40625</v>
      </c>
      <c r="J1074" cm="1">
        <f t="array" ref="J1074">IF(AND(I1074&gt;=0,I1074&lt;=20),0,IF(AND(I1074&gt;20,I1074&lt;=40),1, IF(AND(I1074&gt;40,I1074&lt;=60),2,IF(AND(I1074&gt;60,I1074&lt;=80),3, IF(AND(I1074&gt;80,I1074&lt;=100),4,”5”)))))</f>
        <v>0</v>
      </c>
    </row>
    <row r="1075" spans="1:10" x14ac:dyDescent="0.3">
      <c r="A1075" t="str">
        <f t="shared" si="22"/>
        <v>59040_144</v>
      </c>
      <c r="B1075">
        <f>VLOOKUP(C1075,[1]lookuptable!$A$1:$C$7,2,0)</f>
        <v>59040</v>
      </c>
      <c r="C1075" t="s">
        <v>19</v>
      </c>
      <c r="D1075" s="1">
        <v>144</v>
      </c>
      <c r="E1075">
        <v>3</v>
      </c>
      <c r="F1075">
        <v>101</v>
      </c>
      <c r="G1075">
        <v>104</v>
      </c>
      <c r="H1075">
        <v>357</v>
      </c>
      <c r="I1075" s="2">
        <v>29.13165266</v>
      </c>
      <c r="J1075" cm="1">
        <f t="array" ref="J1075">IF(AND(I1075&gt;=0,I1075&lt;=20),0,IF(AND(I1075&gt;20,I1075&lt;=40),1, IF(AND(I1075&gt;40,I1075&lt;=60),2,IF(AND(I1075&gt;60,I1075&lt;=80),3, IF(AND(I1075&gt;80,I1075&lt;=100),4,”5”)))))</f>
        <v>1</v>
      </c>
    </row>
    <row r="1076" spans="1:10" x14ac:dyDescent="0.3">
      <c r="A1076" t="str">
        <f t="shared" si="22"/>
        <v>59040_145</v>
      </c>
      <c r="B1076">
        <f>VLOOKUP(C1076,[1]lookuptable!$A$1:$C$7,2,0)</f>
        <v>59040</v>
      </c>
      <c r="C1076" t="s">
        <v>19</v>
      </c>
      <c r="D1076" s="1">
        <v>145</v>
      </c>
      <c r="E1076">
        <v>1</v>
      </c>
      <c r="F1076">
        <v>183</v>
      </c>
      <c r="G1076">
        <v>184</v>
      </c>
      <c r="H1076">
        <v>484</v>
      </c>
      <c r="I1076" s="2">
        <v>38.01652893</v>
      </c>
      <c r="J1076" cm="1">
        <f t="array" ref="J1076">IF(AND(I1076&gt;=0,I1076&lt;=20),0,IF(AND(I1076&gt;20,I1076&lt;=40),1, IF(AND(I1076&gt;40,I1076&lt;=60),2,IF(AND(I1076&gt;60,I1076&lt;=80),3, IF(AND(I1076&gt;80,I1076&lt;=100),4,”5”)))))</f>
        <v>1</v>
      </c>
    </row>
    <row r="1077" spans="1:10" x14ac:dyDescent="0.3">
      <c r="A1077" t="str">
        <f t="shared" si="22"/>
        <v>59040_146</v>
      </c>
      <c r="B1077">
        <f>VLOOKUP(C1077,[1]lookuptable!$A$1:$C$7,2,0)</f>
        <v>59040</v>
      </c>
      <c r="C1077" t="s">
        <v>19</v>
      </c>
      <c r="D1077" s="1">
        <v>146</v>
      </c>
      <c r="E1077">
        <v>2</v>
      </c>
      <c r="F1077">
        <v>209</v>
      </c>
      <c r="G1077">
        <v>211</v>
      </c>
      <c r="H1077">
        <v>311</v>
      </c>
      <c r="I1077" s="2">
        <v>67.845659159999997</v>
      </c>
      <c r="J1077" cm="1">
        <f t="array" ref="J1077">IF(AND(I1077&gt;=0,I1077&lt;=20),0,IF(AND(I1077&gt;20,I1077&lt;=40),1, IF(AND(I1077&gt;40,I1077&lt;=60),2,IF(AND(I1077&gt;60,I1077&lt;=80),3, IF(AND(I1077&gt;80,I1077&lt;=100),4,”5”)))))</f>
        <v>3</v>
      </c>
    </row>
    <row r="1078" spans="1:10" x14ac:dyDescent="0.3">
      <c r="A1078" t="str">
        <f t="shared" si="22"/>
        <v>59040_147</v>
      </c>
      <c r="B1078">
        <f>VLOOKUP(C1078,[1]lookuptable!$A$1:$C$7,2,0)</f>
        <v>59040</v>
      </c>
      <c r="C1078" t="s">
        <v>19</v>
      </c>
      <c r="D1078" s="1">
        <v>147</v>
      </c>
      <c r="E1078">
        <v>0</v>
      </c>
      <c r="F1078">
        <v>98</v>
      </c>
      <c r="G1078">
        <v>98</v>
      </c>
      <c r="H1078">
        <v>293</v>
      </c>
      <c r="I1078" s="2">
        <v>33.44709898</v>
      </c>
      <c r="J1078" cm="1">
        <f t="array" ref="J1078">IF(AND(I1078&gt;=0,I1078&lt;=20),0,IF(AND(I1078&gt;20,I1078&lt;=40),1, IF(AND(I1078&gt;40,I1078&lt;=60),2,IF(AND(I1078&gt;60,I1078&lt;=80),3, IF(AND(I1078&gt;80,I1078&lt;=100),4,”5”)))))</f>
        <v>1</v>
      </c>
    </row>
    <row r="1079" spans="1:10" x14ac:dyDescent="0.3">
      <c r="A1079" t="str">
        <f t="shared" si="22"/>
        <v>59040_148</v>
      </c>
      <c r="B1079">
        <f>VLOOKUP(C1079,[1]lookuptable!$A$1:$C$7,2,0)</f>
        <v>59040</v>
      </c>
      <c r="C1079" t="s">
        <v>19</v>
      </c>
      <c r="D1079" s="1">
        <v>148</v>
      </c>
      <c r="E1079">
        <v>146</v>
      </c>
      <c r="F1079">
        <v>0</v>
      </c>
      <c r="G1079">
        <v>0</v>
      </c>
      <c r="H1079">
        <v>191</v>
      </c>
      <c r="I1079" s="2">
        <f>((E1079+G1079)/H1079)*100</f>
        <v>76.439790575916234</v>
      </c>
      <c r="J1079" cm="1">
        <f t="array" ref="J1079">IF(AND(I1079&gt;=0,I1079&lt;=20),0,IF(AND(I1079&gt;20,I1079&lt;=40),1, IF(AND(I1079&gt;40,I1079&lt;=60),2,IF(AND(I1079&gt;60,I1079&lt;=80),3, IF(AND(I1079&gt;80,I1079&lt;=100),4,”5”)))))</f>
        <v>3</v>
      </c>
    </row>
    <row r="1080" spans="1:10" x14ac:dyDescent="0.3">
      <c r="A1080" t="str">
        <f t="shared" si="22"/>
        <v>59040_149</v>
      </c>
      <c r="B1080">
        <f>VLOOKUP(C1080,[1]lookuptable!$A$1:$C$7,2,0)</f>
        <v>59040</v>
      </c>
      <c r="C1080" t="s">
        <v>19</v>
      </c>
      <c r="D1080" s="1">
        <v>149</v>
      </c>
      <c r="E1080">
        <v>1</v>
      </c>
      <c r="F1080">
        <v>178</v>
      </c>
      <c r="G1080">
        <v>179</v>
      </c>
      <c r="H1080">
        <v>499</v>
      </c>
      <c r="I1080" s="2">
        <v>35.87174349</v>
      </c>
      <c r="J1080" cm="1">
        <f t="array" ref="J1080">IF(AND(I1080&gt;=0,I1080&lt;=20),0,IF(AND(I1080&gt;20,I1080&lt;=40),1, IF(AND(I1080&gt;40,I1080&lt;=60),2,IF(AND(I1080&gt;60,I1080&lt;=80),3, IF(AND(I1080&gt;80,I1080&lt;=100),4,”5”)))))</f>
        <v>1</v>
      </c>
    </row>
    <row r="1081" spans="1:10" x14ac:dyDescent="0.3">
      <c r="A1081" t="str">
        <f t="shared" si="22"/>
        <v>59040_150</v>
      </c>
      <c r="B1081">
        <f>VLOOKUP(C1081,[1]lookuptable!$A$1:$C$7,2,0)</f>
        <v>59040</v>
      </c>
      <c r="C1081" t="s">
        <v>19</v>
      </c>
      <c r="D1081" s="1">
        <v>150</v>
      </c>
      <c r="E1081">
        <v>1</v>
      </c>
      <c r="F1081">
        <v>160</v>
      </c>
      <c r="G1081">
        <v>161</v>
      </c>
      <c r="H1081">
        <v>422</v>
      </c>
      <c r="I1081" s="2">
        <v>38.151658769999997</v>
      </c>
      <c r="J1081" cm="1">
        <f t="array" ref="J1081">IF(AND(I1081&gt;=0,I1081&lt;=20),0,IF(AND(I1081&gt;20,I1081&lt;=40),1, IF(AND(I1081&gt;40,I1081&lt;=60),2,IF(AND(I1081&gt;60,I1081&lt;=80),3, IF(AND(I1081&gt;80,I1081&lt;=100),4,”5”)))))</f>
        <v>1</v>
      </c>
    </row>
    <row r="1082" spans="1:10" x14ac:dyDescent="0.3">
      <c r="A1082" t="str">
        <f t="shared" si="22"/>
        <v>59040_151</v>
      </c>
      <c r="B1082">
        <f>VLOOKUP(C1082,[1]lookuptable!$A$1:$C$7,2,0)</f>
        <v>59040</v>
      </c>
      <c r="C1082" t="s">
        <v>19</v>
      </c>
      <c r="D1082" s="1">
        <v>151</v>
      </c>
      <c r="E1082">
        <v>2</v>
      </c>
      <c r="F1082">
        <v>125</v>
      </c>
      <c r="G1082">
        <v>127</v>
      </c>
      <c r="H1082">
        <v>407</v>
      </c>
      <c r="I1082" s="2">
        <v>31.2039312</v>
      </c>
      <c r="J1082" cm="1">
        <f t="array" ref="J1082">IF(AND(I1082&gt;=0,I1082&lt;=20),0,IF(AND(I1082&gt;20,I1082&lt;=40),1, IF(AND(I1082&gt;40,I1082&lt;=60),2,IF(AND(I1082&gt;60,I1082&lt;=80),3, IF(AND(I1082&gt;80,I1082&lt;=100),4,”5”)))))</f>
        <v>1</v>
      </c>
    </row>
    <row r="1083" spans="1:10" x14ac:dyDescent="0.3">
      <c r="A1083" t="str">
        <f t="shared" si="22"/>
        <v>59040_152</v>
      </c>
      <c r="B1083">
        <f>VLOOKUP(C1083,[1]lookuptable!$A$1:$C$7,2,0)</f>
        <v>59040</v>
      </c>
      <c r="C1083" t="s">
        <v>19</v>
      </c>
      <c r="D1083" s="1">
        <v>152</v>
      </c>
      <c r="E1083">
        <v>0</v>
      </c>
      <c r="F1083">
        <v>113</v>
      </c>
      <c r="G1083">
        <v>113</v>
      </c>
      <c r="H1083">
        <v>375</v>
      </c>
      <c r="I1083" s="2">
        <v>30.133333329999999</v>
      </c>
      <c r="J1083" cm="1">
        <f t="array" ref="J1083">IF(AND(I1083&gt;=0,I1083&lt;=20),0,IF(AND(I1083&gt;20,I1083&lt;=40),1, IF(AND(I1083&gt;40,I1083&lt;=60),2,IF(AND(I1083&gt;60,I1083&lt;=80),3, IF(AND(I1083&gt;80,I1083&lt;=100),4,”5”)))))</f>
        <v>1</v>
      </c>
    </row>
    <row r="1084" spans="1:10" x14ac:dyDescent="0.3">
      <c r="A1084" t="str">
        <f t="shared" si="22"/>
        <v>59040_153</v>
      </c>
      <c r="B1084">
        <f>VLOOKUP(C1084,[1]lookuptable!$A$1:$C$7,2,0)</f>
        <v>59040</v>
      </c>
      <c r="C1084" t="s">
        <v>19</v>
      </c>
      <c r="D1084" s="1">
        <v>153</v>
      </c>
      <c r="E1084">
        <v>0</v>
      </c>
      <c r="F1084">
        <v>120</v>
      </c>
      <c r="G1084">
        <v>120</v>
      </c>
      <c r="H1084">
        <v>361</v>
      </c>
      <c r="I1084" s="2">
        <v>33.240997229999998</v>
      </c>
      <c r="J1084" cm="1">
        <f t="array" ref="J1084">IF(AND(I1084&gt;=0,I1084&lt;=20),0,IF(AND(I1084&gt;20,I1084&lt;=40),1, IF(AND(I1084&gt;40,I1084&lt;=60),2,IF(AND(I1084&gt;60,I1084&lt;=80),3, IF(AND(I1084&gt;80,I1084&lt;=100),4,”5”)))))</f>
        <v>1</v>
      </c>
    </row>
    <row r="1085" spans="1:10" x14ac:dyDescent="0.3">
      <c r="A1085" t="str">
        <f t="shared" si="22"/>
        <v>59040_154</v>
      </c>
      <c r="B1085">
        <f>VLOOKUP(C1085,[1]lookuptable!$A$1:$C$7,2,0)</f>
        <v>59040</v>
      </c>
      <c r="C1085" t="s">
        <v>19</v>
      </c>
      <c r="D1085" s="1">
        <v>154</v>
      </c>
      <c r="E1085">
        <v>1</v>
      </c>
      <c r="F1085">
        <v>99</v>
      </c>
      <c r="G1085">
        <v>100</v>
      </c>
      <c r="H1085">
        <v>350</v>
      </c>
      <c r="I1085" s="2">
        <v>28.571428569999998</v>
      </c>
      <c r="J1085" cm="1">
        <f t="array" ref="J1085">IF(AND(I1085&gt;=0,I1085&lt;=20),0,IF(AND(I1085&gt;20,I1085&lt;=40),1, IF(AND(I1085&gt;40,I1085&lt;=60),2,IF(AND(I1085&gt;60,I1085&lt;=80),3, IF(AND(I1085&gt;80,I1085&lt;=100),4,”5”)))))</f>
        <v>1</v>
      </c>
    </row>
    <row r="1086" spans="1:10" x14ac:dyDescent="0.3">
      <c r="A1086" t="str">
        <f t="shared" si="22"/>
        <v>59040_155</v>
      </c>
      <c r="B1086">
        <f>VLOOKUP(C1086,[1]lookuptable!$A$1:$C$7,2,0)</f>
        <v>59040</v>
      </c>
      <c r="C1086" t="s">
        <v>19</v>
      </c>
      <c r="D1086" s="1">
        <v>155</v>
      </c>
      <c r="E1086">
        <v>0</v>
      </c>
      <c r="F1086">
        <v>116</v>
      </c>
      <c r="G1086">
        <v>116</v>
      </c>
      <c r="H1086">
        <v>390</v>
      </c>
      <c r="I1086" s="2">
        <v>29.743589740000001</v>
      </c>
      <c r="J1086" cm="1">
        <f t="array" ref="J1086">IF(AND(I1086&gt;=0,I1086&lt;=20),0,IF(AND(I1086&gt;20,I1086&lt;=40),1, IF(AND(I1086&gt;40,I1086&lt;=60),2,IF(AND(I1086&gt;60,I1086&lt;=80),3, IF(AND(I1086&gt;80,I1086&lt;=100),4,”5”)))))</f>
        <v>1</v>
      </c>
    </row>
    <row r="1087" spans="1:10" x14ac:dyDescent="0.3">
      <c r="A1087" t="str">
        <f t="shared" si="22"/>
        <v>59040_156</v>
      </c>
      <c r="B1087">
        <f>VLOOKUP(C1087,[1]lookuptable!$A$1:$C$7,2,0)</f>
        <v>59040</v>
      </c>
      <c r="C1087" t="s">
        <v>19</v>
      </c>
      <c r="D1087" s="1">
        <v>156</v>
      </c>
      <c r="E1087">
        <v>0</v>
      </c>
      <c r="F1087">
        <v>111</v>
      </c>
      <c r="G1087">
        <v>111</v>
      </c>
      <c r="H1087">
        <v>347</v>
      </c>
      <c r="I1087" s="2">
        <v>31.98847262</v>
      </c>
      <c r="J1087" cm="1">
        <f t="array" ref="J1087">IF(AND(I1087&gt;=0,I1087&lt;=20),0,IF(AND(I1087&gt;20,I1087&lt;=40),1, IF(AND(I1087&gt;40,I1087&lt;=60),2,IF(AND(I1087&gt;60,I1087&lt;=80),3, IF(AND(I1087&gt;80,I1087&lt;=100),4,”5”)))))</f>
        <v>1</v>
      </c>
    </row>
    <row r="1088" spans="1:10" x14ac:dyDescent="0.3">
      <c r="A1088" t="str">
        <f t="shared" si="22"/>
        <v>59040_157</v>
      </c>
      <c r="B1088">
        <f>VLOOKUP(C1088,[1]lookuptable!$A$1:$C$7,2,0)</f>
        <v>59040</v>
      </c>
      <c r="C1088" t="s">
        <v>19</v>
      </c>
      <c r="D1088" s="1">
        <v>157</v>
      </c>
      <c r="E1088">
        <v>2</v>
      </c>
      <c r="F1088">
        <v>109</v>
      </c>
      <c r="G1088">
        <v>111</v>
      </c>
      <c r="H1088">
        <v>420</v>
      </c>
      <c r="I1088" s="2">
        <v>26.428571430000002</v>
      </c>
      <c r="J1088" cm="1">
        <f t="array" ref="J1088">IF(AND(I1088&gt;=0,I1088&lt;=20),0,IF(AND(I1088&gt;20,I1088&lt;=40),1, IF(AND(I1088&gt;40,I1088&lt;=60),2,IF(AND(I1088&gt;60,I1088&lt;=80),3, IF(AND(I1088&gt;80,I1088&lt;=100),4,”5”)))))</f>
        <v>1</v>
      </c>
    </row>
    <row r="1089" spans="1:10" x14ac:dyDescent="0.3">
      <c r="A1089" t="str">
        <f t="shared" si="22"/>
        <v>59040_158</v>
      </c>
      <c r="B1089">
        <f>VLOOKUP(C1089,[1]lookuptable!$A$1:$C$7,2,0)</f>
        <v>59040</v>
      </c>
      <c r="C1089" t="s">
        <v>19</v>
      </c>
      <c r="D1089" s="1">
        <v>158</v>
      </c>
      <c r="E1089">
        <v>0</v>
      </c>
      <c r="F1089">
        <v>93</v>
      </c>
      <c r="G1089">
        <v>93</v>
      </c>
      <c r="H1089">
        <v>403</v>
      </c>
      <c r="I1089" s="2">
        <v>23.07692308</v>
      </c>
      <c r="J1089" cm="1">
        <f t="array" ref="J1089">IF(AND(I1089&gt;=0,I1089&lt;=20),0,IF(AND(I1089&gt;20,I1089&lt;=40),1, IF(AND(I1089&gt;40,I1089&lt;=60),2,IF(AND(I1089&gt;60,I1089&lt;=80),3, IF(AND(I1089&gt;80,I1089&lt;=100),4,”5”)))))</f>
        <v>1</v>
      </c>
    </row>
    <row r="1090" spans="1:10" x14ac:dyDescent="0.3">
      <c r="A1090" t="str">
        <f t="shared" ref="A1090:A1118" si="23">CONCATENATE(B1090,"_",D1090)</f>
        <v>59040_159</v>
      </c>
      <c r="B1090">
        <f>VLOOKUP(C1090,[1]lookuptable!$A$1:$C$7,2,0)</f>
        <v>59040</v>
      </c>
      <c r="C1090" t="s">
        <v>19</v>
      </c>
      <c r="D1090" s="1">
        <v>159</v>
      </c>
      <c r="E1090">
        <v>0</v>
      </c>
      <c r="F1090">
        <v>117</v>
      </c>
      <c r="G1090">
        <v>117</v>
      </c>
      <c r="H1090">
        <v>416</v>
      </c>
      <c r="I1090" s="2">
        <v>28.125</v>
      </c>
      <c r="J1090" cm="1">
        <f t="array" ref="J1090">IF(AND(I1090&gt;=0,I1090&lt;=20),0,IF(AND(I1090&gt;20,I1090&lt;=40),1, IF(AND(I1090&gt;40,I1090&lt;=60),2,IF(AND(I1090&gt;60,I1090&lt;=80),3, IF(AND(I1090&gt;80,I1090&lt;=100),4,”5”)))))</f>
        <v>1</v>
      </c>
    </row>
    <row r="1091" spans="1:10" x14ac:dyDescent="0.3">
      <c r="A1091" t="str">
        <f t="shared" si="23"/>
        <v>59040_160</v>
      </c>
      <c r="B1091">
        <f>VLOOKUP(C1091,[1]lookuptable!$A$1:$C$7,2,0)</f>
        <v>59040</v>
      </c>
      <c r="C1091" t="s">
        <v>19</v>
      </c>
      <c r="D1091" s="1">
        <v>160</v>
      </c>
      <c r="E1091">
        <v>2</v>
      </c>
      <c r="F1091">
        <v>123</v>
      </c>
      <c r="G1091">
        <v>125</v>
      </c>
      <c r="H1091">
        <v>406</v>
      </c>
      <c r="I1091" s="2">
        <v>30.788177340000001</v>
      </c>
      <c r="J1091" cm="1">
        <f t="array" ref="J1091">IF(AND(I1091&gt;=0,I1091&lt;=20),0,IF(AND(I1091&gt;20,I1091&lt;=40),1, IF(AND(I1091&gt;40,I1091&lt;=60),2,IF(AND(I1091&gt;60,I1091&lt;=80),3, IF(AND(I1091&gt;80,I1091&lt;=100),4,”5”)))))</f>
        <v>1</v>
      </c>
    </row>
    <row r="1092" spans="1:10" x14ac:dyDescent="0.3">
      <c r="A1092" t="str">
        <f t="shared" si="23"/>
        <v>59040_161</v>
      </c>
      <c r="B1092">
        <f>VLOOKUP(C1092,[1]lookuptable!$A$1:$C$7,2,0)</f>
        <v>59040</v>
      </c>
      <c r="C1092" t="s">
        <v>19</v>
      </c>
      <c r="D1092" s="1">
        <v>161</v>
      </c>
      <c r="E1092">
        <v>0</v>
      </c>
      <c r="F1092">
        <v>118</v>
      </c>
      <c r="G1092">
        <v>118</v>
      </c>
      <c r="H1092">
        <v>373</v>
      </c>
      <c r="I1092" s="2">
        <v>31.63538874</v>
      </c>
      <c r="J1092" cm="1">
        <f t="array" ref="J1092">IF(AND(I1092&gt;=0,I1092&lt;=20),0,IF(AND(I1092&gt;20,I1092&lt;=40),1, IF(AND(I1092&gt;40,I1092&lt;=60),2,IF(AND(I1092&gt;60,I1092&lt;=80),3, IF(AND(I1092&gt;80,I1092&lt;=100),4,”5”)))))</f>
        <v>1</v>
      </c>
    </row>
    <row r="1093" spans="1:10" x14ac:dyDescent="0.3">
      <c r="A1093" t="str">
        <f t="shared" si="23"/>
        <v>59040_162</v>
      </c>
      <c r="B1093">
        <f>VLOOKUP(C1093,[1]lookuptable!$A$1:$C$7,2,0)</f>
        <v>59040</v>
      </c>
      <c r="C1093" t="s">
        <v>19</v>
      </c>
      <c r="D1093" s="1">
        <v>162</v>
      </c>
      <c r="E1093">
        <v>1</v>
      </c>
      <c r="F1093">
        <v>111</v>
      </c>
      <c r="G1093">
        <v>112</v>
      </c>
      <c r="H1093">
        <v>418</v>
      </c>
      <c r="I1093" s="2">
        <v>26.794258370000001</v>
      </c>
      <c r="J1093" cm="1">
        <f t="array" ref="J1093">IF(AND(I1093&gt;=0,I1093&lt;=20),0,IF(AND(I1093&gt;20,I1093&lt;=40),1, IF(AND(I1093&gt;40,I1093&lt;=60),2,IF(AND(I1093&gt;60,I1093&lt;=80),3, IF(AND(I1093&gt;80,I1093&lt;=100),4,”5”)))))</f>
        <v>1</v>
      </c>
    </row>
    <row r="1094" spans="1:10" x14ac:dyDescent="0.3">
      <c r="A1094" t="str">
        <f t="shared" si="23"/>
        <v>59040_163</v>
      </c>
      <c r="B1094">
        <f>VLOOKUP(C1094,[1]lookuptable!$A$1:$C$7,2,0)</f>
        <v>59040</v>
      </c>
      <c r="C1094" t="s">
        <v>19</v>
      </c>
      <c r="D1094" s="1">
        <v>163</v>
      </c>
      <c r="E1094">
        <v>0</v>
      </c>
      <c r="F1094">
        <v>124</v>
      </c>
      <c r="G1094">
        <v>124</v>
      </c>
      <c r="H1094">
        <v>410</v>
      </c>
      <c r="I1094" s="2">
        <v>30.243902439999999</v>
      </c>
      <c r="J1094" cm="1">
        <f t="array" ref="J1094">IF(AND(I1094&gt;=0,I1094&lt;=20),0,IF(AND(I1094&gt;20,I1094&lt;=40),1, IF(AND(I1094&gt;40,I1094&lt;=60),2,IF(AND(I1094&gt;60,I1094&lt;=80),3, IF(AND(I1094&gt;80,I1094&lt;=100),4,”5”)))))</f>
        <v>1</v>
      </c>
    </row>
    <row r="1095" spans="1:10" x14ac:dyDescent="0.3">
      <c r="A1095" t="str">
        <f t="shared" si="23"/>
        <v>59040_164</v>
      </c>
      <c r="B1095">
        <f>VLOOKUP(C1095,[1]lookuptable!$A$1:$C$7,2,0)</f>
        <v>59040</v>
      </c>
      <c r="C1095" t="s">
        <v>19</v>
      </c>
      <c r="D1095" s="1">
        <v>164</v>
      </c>
      <c r="E1095">
        <v>0</v>
      </c>
      <c r="F1095">
        <v>106</v>
      </c>
      <c r="G1095">
        <v>106</v>
      </c>
      <c r="H1095">
        <v>398</v>
      </c>
      <c r="I1095" s="2">
        <v>26.633165829999999</v>
      </c>
      <c r="J1095" cm="1">
        <f t="array" ref="J1095">IF(AND(I1095&gt;=0,I1095&lt;=20),0,IF(AND(I1095&gt;20,I1095&lt;=40),1, IF(AND(I1095&gt;40,I1095&lt;=60),2,IF(AND(I1095&gt;60,I1095&lt;=80),3, IF(AND(I1095&gt;80,I1095&lt;=100),4,”5”)))))</f>
        <v>1</v>
      </c>
    </row>
    <row r="1096" spans="1:10" x14ac:dyDescent="0.3">
      <c r="A1096" t="str">
        <f t="shared" si="23"/>
        <v>59040_165</v>
      </c>
      <c r="B1096">
        <f>VLOOKUP(C1096,[1]lookuptable!$A$1:$C$7,2,0)</f>
        <v>59040</v>
      </c>
      <c r="C1096" t="s">
        <v>19</v>
      </c>
      <c r="D1096" s="1">
        <v>165</v>
      </c>
      <c r="E1096">
        <v>0</v>
      </c>
      <c r="F1096">
        <v>146</v>
      </c>
      <c r="G1096">
        <v>146</v>
      </c>
      <c r="H1096">
        <v>441</v>
      </c>
      <c r="I1096" s="2">
        <v>33.106575960000001</v>
      </c>
      <c r="J1096" cm="1">
        <f t="array" ref="J1096">IF(AND(I1096&gt;=0,I1096&lt;=20),0,IF(AND(I1096&gt;20,I1096&lt;=40),1, IF(AND(I1096&gt;40,I1096&lt;=60),2,IF(AND(I1096&gt;60,I1096&lt;=80),3, IF(AND(I1096&gt;80,I1096&lt;=100),4,”5”)))))</f>
        <v>1</v>
      </c>
    </row>
    <row r="1097" spans="1:10" x14ac:dyDescent="0.3">
      <c r="A1097" t="str">
        <f t="shared" si="23"/>
        <v>59040_166</v>
      </c>
      <c r="B1097">
        <f>VLOOKUP(C1097,[1]lookuptable!$A$1:$C$7,2,0)</f>
        <v>59040</v>
      </c>
      <c r="C1097" t="s">
        <v>19</v>
      </c>
      <c r="D1097" s="1">
        <v>166</v>
      </c>
      <c r="E1097">
        <v>0</v>
      </c>
      <c r="F1097">
        <v>85</v>
      </c>
      <c r="G1097">
        <v>85</v>
      </c>
      <c r="H1097">
        <v>337</v>
      </c>
      <c r="I1097" s="2">
        <v>25.222551930000002</v>
      </c>
      <c r="J1097" cm="1">
        <f t="array" ref="J1097">IF(AND(I1097&gt;=0,I1097&lt;=20),0,IF(AND(I1097&gt;20,I1097&lt;=40),1, IF(AND(I1097&gt;40,I1097&lt;=60),2,IF(AND(I1097&gt;60,I1097&lt;=80),3, IF(AND(I1097&gt;80,I1097&lt;=100),4,”5”)))))</f>
        <v>1</v>
      </c>
    </row>
    <row r="1098" spans="1:10" x14ac:dyDescent="0.3">
      <c r="A1098" t="str">
        <f t="shared" si="23"/>
        <v>59040_ 167A</v>
      </c>
      <c r="B1098">
        <f>VLOOKUP(C1098,[1]lookuptable!$A$1:$C$7,2,0)</f>
        <v>59040</v>
      </c>
      <c r="C1098" t="s">
        <v>19</v>
      </c>
      <c r="D1098" s="1" t="s">
        <v>22</v>
      </c>
      <c r="E1098">
        <v>2</v>
      </c>
      <c r="F1098">
        <v>175</v>
      </c>
      <c r="G1098">
        <v>177</v>
      </c>
      <c r="H1098">
        <v>666</v>
      </c>
      <c r="I1098" s="2">
        <v>26.576576580000001</v>
      </c>
      <c r="J1098" cm="1">
        <f t="array" ref="J1098">IF(AND(I1098&gt;=0,I1098&lt;=20),0,IF(AND(I1098&gt;20,I1098&lt;=40),1, IF(AND(I1098&gt;40,I1098&lt;=60),2,IF(AND(I1098&gt;60,I1098&lt;=80),3, IF(AND(I1098&gt;80,I1098&lt;=100),4,”5”)))))</f>
        <v>1</v>
      </c>
    </row>
    <row r="1099" spans="1:10" x14ac:dyDescent="0.3">
      <c r="A1099" t="str">
        <f t="shared" si="23"/>
        <v>59040_ 167B</v>
      </c>
      <c r="B1099">
        <f>VLOOKUP(C1099,[1]lookuptable!$A$1:$C$7,2,0)</f>
        <v>59040</v>
      </c>
      <c r="C1099" t="s">
        <v>19</v>
      </c>
      <c r="D1099" s="1" t="s">
        <v>23</v>
      </c>
      <c r="E1099">
        <v>3</v>
      </c>
      <c r="F1099">
        <v>209</v>
      </c>
      <c r="G1099">
        <v>212</v>
      </c>
      <c r="H1099">
        <v>669</v>
      </c>
      <c r="I1099" s="2">
        <v>31.68908819</v>
      </c>
      <c r="J1099" cm="1">
        <f t="array" ref="J1099">IF(AND(I1099&gt;=0,I1099&lt;=20),0,IF(AND(I1099&gt;20,I1099&lt;=40),1, IF(AND(I1099&gt;40,I1099&lt;=60),2,IF(AND(I1099&gt;60,I1099&lt;=80),3, IF(AND(I1099&gt;80,I1099&lt;=100),4,”5”)))))</f>
        <v>1</v>
      </c>
    </row>
    <row r="1100" spans="1:10" x14ac:dyDescent="0.3">
      <c r="A1100" t="str">
        <f t="shared" si="23"/>
        <v>59040_168</v>
      </c>
      <c r="B1100">
        <f>VLOOKUP(C1100,[1]lookuptable!$A$1:$C$7,2,0)</f>
        <v>59040</v>
      </c>
      <c r="C1100" t="s">
        <v>19</v>
      </c>
      <c r="D1100" s="1">
        <v>168</v>
      </c>
      <c r="E1100">
        <v>0</v>
      </c>
      <c r="F1100">
        <v>175</v>
      </c>
      <c r="G1100">
        <v>175</v>
      </c>
      <c r="H1100">
        <v>602</v>
      </c>
      <c r="I1100" s="2">
        <v>29.06976744</v>
      </c>
      <c r="J1100" cm="1">
        <f t="array" ref="J1100">IF(AND(I1100&gt;=0,I1100&lt;=20),0,IF(AND(I1100&gt;20,I1100&lt;=40),1, IF(AND(I1100&gt;40,I1100&lt;=60),2,IF(AND(I1100&gt;60,I1100&lt;=80),3, IF(AND(I1100&gt;80,I1100&lt;=100),4,”5”)))))</f>
        <v>1</v>
      </c>
    </row>
    <row r="1101" spans="1:10" x14ac:dyDescent="0.3">
      <c r="A1101" t="str">
        <f t="shared" si="23"/>
        <v>59040_400</v>
      </c>
      <c r="B1101">
        <f>VLOOKUP(C1101,[1]lookuptable!$A$1:$C$7,2,0)</f>
        <v>59040</v>
      </c>
      <c r="C1101" t="s">
        <v>19</v>
      </c>
      <c r="D1101" s="1">
        <v>400</v>
      </c>
      <c r="E1101">
        <v>0</v>
      </c>
      <c r="F1101">
        <v>37</v>
      </c>
      <c r="G1101">
        <v>37</v>
      </c>
      <c r="H1101">
        <v>163</v>
      </c>
      <c r="I1101" s="2">
        <v>22.699386499999999</v>
      </c>
      <c r="J1101" cm="1">
        <f t="array" ref="J1101">IF(AND(I1101&gt;=0,I1101&lt;=20),0,IF(AND(I1101&gt;20,I1101&lt;=40),1, IF(AND(I1101&gt;40,I1101&lt;=60),2,IF(AND(I1101&gt;60,I1101&lt;=80),3, IF(AND(I1101&gt;80,I1101&lt;=100),4,”5”)))))</f>
        <v>1</v>
      </c>
    </row>
    <row r="1102" spans="1:10" x14ac:dyDescent="0.3">
      <c r="A1102" t="str">
        <f t="shared" si="23"/>
        <v>59040_401</v>
      </c>
      <c r="B1102">
        <f>VLOOKUP(C1102,[1]lookuptable!$A$1:$C$7,2,0)</f>
        <v>59040</v>
      </c>
      <c r="C1102" t="s">
        <v>19</v>
      </c>
      <c r="D1102" s="1">
        <v>401</v>
      </c>
      <c r="E1102">
        <v>0</v>
      </c>
      <c r="F1102">
        <v>27</v>
      </c>
      <c r="G1102">
        <v>27</v>
      </c>
      <c r="H1102">
        <v>143</v>
      </c>
      <c r="I1102" s="2">
        <v>18.881118879999999</v>
      </c>
      <c r="J1102" cm="1">
        <f t="array" ref="J1102">IF(AND(I1102&gt;=0,I1102&lt;=20),0,IF(AND(I1102&gt;20,I1102&lt;=40),1, IF(AND(I1102&gt;40,I1102&lt;=60),2,IF(AND(I1102&gt;60,I1102&lt;=80),3, IF(AND(I1102&gt;80,I1102&lt;=100),4,”5”)))))</f>
        <v>0</v>
      </c>
    </row>
    <row r="1103" spans="1:10" x14ac:dyDescent="0.3">
      <c r="A1103" t="str">
        <f t="shared" si="23"/>
        <v>59040_402</v>
      </c>
      <c r="B1103">
        <f>VLOOKUP(C1103,[1]lookuptable!$A$1:$C$7,2,0)</f>
        <v>59040</v>
      </c>
      <c r="C1103" t="s">
        <v>19</v>
      </c>
      <c r="D1103" s="1">
        <v>402</v>
      </c>
      <c r="E1103">
        <v>0</v>
      </c>
      <c r="F1103">
        <v>34</v>
      </c>
      <c r="G1103">
        <v>34</v>
      </c>
      <c r="H1103">
        <v>124</v>
      </c>
      <c r="I1103" s="2">
        <v>27.41935484</v>
      </c>
      <c r="J1103" cm="1">
        <f t="array" ref="J1103">IF(AND(I1103&gt;=0,I1103&lt;=20),0,IF(AND(I1103&gt;20,I1103&lt;=40),1, IF(AND(I1103&gt;40,I1103&lt;=60),2,IF(AND(I1103&gt;60,I1103&lt;=80),3, IF(AND(I1103&gt;80,I1103&lt;=100),4,”5”)))))</f>
        <v>1</v>
      </c>
    </row>
    <row r="1104" spans="1:10" x14ac:dyDescent="0.3">
      <c r="A1104" t="str">
        <f t="shared" si="23"/>
        <v>59040_403</v>
      </c>
      <c r="B1104">
        <f>VLOOKUP(C1104,[1]lookuptable!$A$1:$C$7,2,0)</f>
        <v>59040</v>
      </c>
      <c r="C1104" t="s">
        <v>19</v>
      </c>
      <c r="D1104" s="1">
        <v>403</v>
      </c>
      <c r="E1104">
        <v>0</v>
      </c>
      <c r="F1104">
        <v>56</v>
      </c>
      <c r="G1104">
        <v>56</v>
      </c>
      <c r="H1104">
        <v>178</v>
      </c>
      <c r="I1104" s="2">
        <v>31.46067416</v>
      </c>
      <c r="J1104" cm="1">
        <f t="array" ref="J1104">IF(AND(I1104&gt;=0,I1104&lt;=20),0,IF(AND(I1104&gt;20,I1104&lt;=40),1, IF(AND(I1104&gt;40,I1104&lt;=60),2,IF(AND(I1104&gt;60,I1104&lt;=80),3, IF(AND(I1104&gt;80,I1104&lt;=100),4,”5”)))))</f>
        <v>1</v>
      </c>
    </row>
    <row r="1105" spans="1:10" x14ac:dyDescent="0.3">
      <c r="A1105" t="str">
        <f t="shared" si="23"/>
        <v>59040_500</v>
      </c>
      <c r="B1105">
        <f>VLOOKUP(C1105,[1]lookuptable!$A$1:$C$7,2,0)</f>
        <v>59040</v>
      </c>
      <c r="C1105" t="s">
        <v>19</v>
      </c>
      <c r="D1105" s="1">
        <v>500</v>
      </c>
      <c r="E1105">
        <v>1</v>
      </c>
      <c r="F1105">
        <v>48</v>
      </c>
      <c r="G1105">
        <v>49</v>
      </c>
      <c r="H1105">
        <v>79</v>
      </c>
      <c r="I1105" s="2">
        <v>62.025316459999999</v>
      </c>
      <c r="J1105" cm="1">
        <f t="array" ref="J1105">IF(AND(I1105&gt;=0,I1105&lt;=20),0,IF(AND(I1105&gt;20,I1105&lt;=40),1, IF(AND(I1105&gt;40,I1105&lt;=60),2,IF(AND(I1105&gt;60,I1105&lt;=80),3, IF(AND(I1105&gt;80,I1105&lt;=100),4,”5”)))))</f>
        <v>3</v>
      </c>
    </row>
    <row r="1106" spans="1:10" x14ac:dyDescent="0.3">
      <c r="A1106" t="str">
        <f t="shared" si="23"/>
        <v>59040_501</v>
      </c>
      <c r="B1106">
        <f>VLOOKUP(C1106,[1]lookuptable!$A$1:$C$7,2,0)</f>
        <v>59040</v>
      </c>
      <c r="C1106" t="s">
        <v>19</v>
      </c>
      <c r="D1106" s="1">
        <v>501</v>
      </c>
      <c r="E1106">
        <v>3</v>
      </c>
      <c r="F1106">
        <v>33</v>
      </c>
      <c r="G1106">
        <v>36</v>
      </c>
      <c r="H1106">
        <v>49</v>
      </c>
      <c r="I1106" s="2">
        <v>73.469387760000004</v>
      </c>
      <c r="J1106" cm="1">
        <f t="array" ref="J1106">IF(AND(I1106&gt;=0,I1106&lt;=20),0,IF(AND(I1106&gt;20,I1106&lt;=40),1, IF(AND(I1106&gt;40,I1106&lt;=60),2,IF(AND(I1106&gt;60,I1106&lt;=80),3, IF(AND(I1106&gt;80,I1106&lt;=100),4,”5”)))))</f>
        <v>3</v>
      </c>
    </row>
    <row r="1107" spans="1:10" x14ac:dyDescent="0.3">
      <c r="A1107" t="str">
        <f t="shared" si="23"/>
        <v>59040_502</v>
      </c>
      <c r="B1107">
        <f>VLOOKUP(C1107,[1]lookuptable!$A$1:$C$7,2,0)</f>
        <v>59040</v>
      </c>
      <c r="C1107" t="s">
        <v>19</v>
      </c>
      <c r="D1107" s="1">
        <v>502</v>
      </c>
      <c r="E1107">
        <v>0</v>
      </c>
      <c r="F1107">
        <v>15</v>
      </c>
      <c r="G1107">
        <v>15</v>
      </c>
      <c r="H1107">
        <v>30</v>
      </c>
      <c r="I1107" s="2">
        <v>50</v>
      </c>
      <c r="J1107" cm="1">
        <f t="array" ref="J1107">IF(AND(I1107&gt;=0,I1107&lt;=20),0,IF(AND(I1107&gt;20,I1107&lt;=40),1, IF(AND(I1107&gt;40,I1107&lt;=60),2,IF(AND(I1107&gt;60,I1107&lt;=80),3, IF(AND(I1107&gt;80,I1107&lt;=100),4,”5”)))))</f>
        <v>2</v>
      </c>
    </row>
    <row r="1108" spans="1:10" x14ac:dyDescent="0.3">
      <c r="A1108" t="str">
        <f t="shared" si="23"/>
        <v>59040_503</v>
      </c>
      <c r="B1108">
        <f>VLOOKUP(C1108,[1]lookuptable!$A$1:$C$7,2,0)</f>
        <v>59040</v>
      </c>
      <c r="C1108" t="s">
        <v>19</v>
      </c>
      <c r="D1108" s="1">
        <v>503</v>
      </c>
      <c r="E1108">
        <v>0</v>
      </c>
      <c r="F1108">
        <v>24</v>
      </c>
      <c r="G1108">
        <v>24</v>
      </c>
      <c r="H1108">
        <v>55</v>
      </c>
      <c r="I1108" s="2">
        <v>43.636363639999999</v>
      </c>
      <c r="J1108" cm="1">
        <f t="array" ref="J1108">IF(AND(I1108&gt;=0,I1108&lt;=20),0,IF(AND(I1108&gt;20,I1108&lt;=40),1, IF(AND(I1108&gt;40,I1108&lt;=60),2,IF(AND(I1108&gt;60,I1108&lt;=80),3, IF(AND(I1108&gt;80,I1108&lt;=100),4,”5”)))))</f>
        <v>2</v>
      </c>
    </row>
    <row r="1109" spans="1:10" x14ac:dyDescent="0.3">
      <c r="A1109" t="str">
        <f t="shared" si="23"/>
        <v>59040_504</v>
      </c>
      <c r="B1109">
        <f>VLOOKUP(C1109,[1]lookuptable!$A$1:$C$7,2,0)</f>
        <v>59040</v>
      </c>
      <c r="C1109" t="s">
        <v>19</v>
      </c>
      <c r="D1109" s="1">
        <v>504</v>
      </c>
      <c r="E1109">
        <v>0</v>
      </c>
      <c r="F1109">
        <v>16</v>
      </c>
      <c r="G1109">
        <v>16</v>
      </c>
      <c r="H1109">
        <v>29</v>
      </c>
      <c r="I1109" s="2">
        <v>55.17241379</v>
      </c>
      <c r="J1109" cm="1">
        <f t="array" ref="J1109">IF(AND(I1109&gt;=0,I1109&lt;=20),0,IF(AND(I1109&gt;20,I1109&lt;=40),1, IF(AND(I1109&gt;40,I1109&lt;=60),2,IF(AND(I1109&gt;60,I1109&lt;=80),3, IF(AND(I1109&gt;80,I1109&lt;=100),4,”5”)))))</f>
        <v>2</v>
      </c>
    </row>
    <row r="1110" spans="1:10" x14ac:dyDescent="0.3">
      <c r="A1110" t="str">
        <f t="shared" si="23"/>
        <v>59040_505</v>
      </c>
      <c r="B1110">
        <f>VLOOKUP(C1110,[1]lookuptable!$A$1:$C$7,2,0)</f>
        <v>59040</v>
      </c>
      <c r="C1110" t="s">
        <v>19</v>
      </c>
      <c r="D1110" s="1">
        <v>505</v>
      </c>
      <c r="E1110">
        <v>1</v>
      </c>
      <c r="F1110">
        <v>74</v>
      </c>
      <c r="G1110">
        <v>75</v>
      </c>
      <c r="H1110">
        <v>91</v>
      </c>
      <c r="I1110" s="2">
        <v>82.417582420000002</v>
      </c>
      <c r="J1110" cm="1">
        <f t="array" ref="J1110">IF(AND(I1110&gt;=0,I1110&lt;=20),0,IF(AND(I1110&gt;20,I1110&lt;=40),1, IF(AND(I1110&gt;40,I1110&lt;=60),2,IF(AND(I1110&gt;60,I1110&lt;=80),3, IF(AND(I1110&gt;80,I1110&lt;=100),4,”5”)))))</f>
        <v>4</v>
      </c>
    </row>
    <row r="1111" spans="1:10" x14ac:dyDescent="0.3">
      <c r="A1111" t="str">
        <f t="shared" si="23"/>
        <v>59040_506</v>
      </c>
      <c r="B1111">
        <f>VLOOKUP(C1111,[1]lookuptable!$A$1:$C$7,2,0)</f>
        <v>59040</v>
      </c>
      <c r="C1111" t="s">
        <v>19</v>
      </c>
      <c r="D1111" s="1">
        <v>506</v>
      </c>
      <c r="E1111">
        <v>0</v>
      </c>
      <c r="F1111">
        <v>36</v>
      </c>
      <c r="G1111">
        <v>36</v>
      </c>
      <c r="H1111">
        <v>49</v>
      </c>
      <c r="I1111" s="2">
        <v>73.469387760000004</v>
      </c>
      <c r="J1111" cm="1">
        <f t="array" ref="J1111">IF(AND(I1111&gt;=0,I1111&lt;=20),0,IF(AND(I1111&gt;20,I1111&lt;=40),1, IF(AND(I1111&gt;40,I1111&lt;=60),2,IF(AND(I1111&gt;60,I1111&lt;=80),3, IF(AND(I1111&gt;80,I1111&lt;=100),4,”5”)))))</f>
        <v>3</v>
      </c>
    </row>
    <row r="1112" spans="1:10" x14ac:dyDescent="0.3">
      <c r="A1112" t="str">
        <f t="shared" si="23"/>
        <v>59040_507</v>
      </c>
      <c r="B1112">
        <f>VLOOKUP(C1112,[1]lookuptable!$A$1:$C$7,2,0)</f>
        <v>59040</v>
      </c>
      <c r="C1112" t="s">
        <v>19</v>
      </c>
      <c r="D1112" s="1">
        <v>507</v>
      </c>
      <c r="E1112">
        <v>1</v>
      </c>
      <c r="F1112">
        <v>40</v>
      </c>
      <c r="G1112">
        <v>41</v>
      </c>
      <c r="H1112">
        <v>51</v>
      </c>
      <c r="I1112" s="2">
        <v>80.39215686</v>
      </c>
      <c r="J1112" cm="1">
        <f t="array" ref="J1112">IF(AND(I1112&gt;=0,I1112&lt;=20),0,IF(AND(I1112&gt;20,I1112&lt;=40),1, IF(AND(I1112&gt;40,I1112&lt;=60),2,IF(AND(I1112&gt;60,I1112&lt;=80),3, IF(AND(I1112&gt;80,I1112&lt;=100),4,”5”)))))</f>
        <v>4</v>
      </c>
    </row>
    <row r="1113" spans="1:10" x14ac:dyDescent="0.3">
      <c r="A1113" t="str">
        <f t="shared" si="23"/>
        <v>59040_508</v>
      </c>
      <c r="B1113">
        <f>VLOOKUP(C1113,[1]lookuptable!$A$1:$C$7,2,0)</f>
        <v>59040</v>
      </c>
      <c r="C1113" t="s">
        <v>19</v>
      </c>
      <c r="D1113" s="1">
        <v>508</v>
      </c>
      <c r="E1113">
        <v>2</v>
      </c>
      <c r="F1113">
        <v>12</v>
      </c>
      <c r="G1113">
        <v>14</v>
      </c>
      <c r="H1113">
        <v>26</v>
      </c>
      <c r="I1113" s="2">
        <v>53.84615385</v>
      </c>
      <c r="J1113" cm="1">
        <f t="array" ref="J1113">IF(AND(I1113&gt;=0,I1113&lt;=20),0,IF(AND(I1113&gt;20,I1113&lt;=40),1, IF(AND(I1113&gt;40,I1113&lt;=60),2,IF(AND(I1113&gt;60,I1113&lt;=80),3, IF(AND(I1113&gt;80,I1113&lt;=100),4,”5”)))))</f>
        <v>2</v>
      </c>
    </row>
    <row r="1114" spans="1:10" x14ac:dyDescent="0.3">
      <c r="A1114" t="str">
        <f t="shared" si="23"/>
        <v>59040_509</v>
      </c>
      <c r="B1114">
        <f>VLOOKUP(C1114,[1]lookuptable!$A$1:$C$7,2,0)</f>
        <v>59040</v>
      </c>
      <c r="C1114" t="s">
        <v>19</v>
      </c>
      <c r="D1114" s="1">
        <v>509</v>
      </c>
      <c r="E1114">
        <v>3</v>
      </c>
      <c r="F1114">
        <v>53</v>
      </c>
      <c r="G1114">
        <v>56</v>
      </c>
      <c r="H1114">
        <v>127</v>
      </c>
      <c r="I1114" s="2">
        <v>44.09448819</v>
      </c>
      <c r="J1114" cm="1">
        <f t="array" ref="J1114">IF(AND(I1114&gt;=0,I1114&lt;=20),0,IF(AND(I1114&gt;20,I1114&lt;=40),1, IF(AND(I1114&gt;40,I1114&lt;=60),2,IF(AND(I1114&gt;60,I1114&lt;=80),3, IF(AND(I1114&gt;80,I1114&lt;=100),4,”5”)))))</f>
        <v>2</v>
      </c>
    </row>
    <row r="1115" spans="1:10" x14ac:dyDescent="0.3">
      <c r="A1115" t="str">
        <f t="shared" si="23"/>
        <v>59040_510</v>
      </c>
      <c r="B1115">
        <f>VLOOKUP(C1115,[1]lookuptable!$A$1:$C$7,2,0)</f>
        <v>59040</v>
      </c>
      <c r="C1115" t="s">
        <v>19</v>
      </c>
      <c r="D1115" s="1">
        <v>510</v>
      </c>
      <c r="E1115">
        <v>1</v>
      </c>
      <c r="F1115">
        <v>24</v>
      </c>
      <c r="G1115">
        <v>25</v>
      </c>
      <c r="H1115">
        <v>38</v>
      </c>
      <c r="I1115" s="2">
        <v>65.78947368</v>
      </c>
      <c r="J1115" cm="1">
        <f t="array" ref="J1115">IF(AND(I1115&gt;=0,I1115&lt;=20),0,IF(AND(I1115&gt;20,I1115&lt;=40),1, IF(AND(I1115&gt;40,I1115&lt;=60),2,IF(AND(I1115&gt;60,I1115&lt;=80),3, IF(AND(I1115&gt;80,I1115&lt;=100),4,”5”)))))</f>
        <v>3</v>
      </c>
    </row>
    <row r="1116" spans="1:10" x14ac:dyDescent="0.3">
      <c r="A1116" t="str">
        <f t="shared" si="23"/>
        <v>59040_511</v>
      </c>
      <c r="B1116">
        <f>VLOOKUP(C1116,[1]lookuptable!$A$1:$C$7,2,0)</f>
        <v>59040</v>
      </c>
      <c r="C1116" t="s">
        <v>19</v>
      </c>
      <c r="D1116" s="1">
        <v>511</v>
      </c>
      <c r="E1116">
        <v>0</v>
      </c>
      <c r="F1116">
        <v>47</v>
      </c>
      <c r="G1116">
        <v>47</v>
      </c>
      <c r="H1116">
        <v>63</v>
      </c>
      <c r="I1116" s="2">
        <v>74.603174600000003</v>
      </c>
      <c r="J1116" cm="1">
        <f t="array" ref="J1116">IF(AND(I1116&gt;=0,I1116&lt;=20),0,IF(AND(I1116&gt;20,I1116&lt;=40),1, IF(AND(I1116&gt;40,I1116&lt;=60),2,IF(AND(I1116&gt;60,I1116&lt;=80),3, IF(AND(I1116&gt;80,I1116&lt;=100),4,”5”)))))</f>
        <v>3</v>
      </c>
    </row>
    <row r="1117" spans="1:10" x14ac:dyDescent="0.3">
      <c r="A1117" t="str">
        <f t="shared" si="23"/>
        <v>59040_512</v>
      </c>
      <c r="B1117">
        <f>VLOOKUP(C1117,[1]lookuptable!$A$1:$C$7,2,0)</f>
        <v>59040</v>
      </c>
      <c r="C1117" t="s">
        <v>19</v>
      </c>
      <c r="D1117" s="1">
        <v>512</v>
      </c>
      <c r="E1117">
        <v>1</v>
      </c>
      <c r="F1117">
        <v>15</v>
      </c>
      <c r="G1117">
        <v>16</v>
      </c>
      <c r="H1117">
        <v>29</v>
      </c>
      <c r="I1117" s="2">
        <v>55.17241379</v>
      </c>
      <c r="J1117" cm="1">
        <f t="array" ref="J1117">IF(AND(I1117&gt;=0,I1117&lt;=20),0,IF(AND(I1117&gt;20,I1117&lt;=40),1, IF(AND(I1117&gt;40,I1117&lt;=60),2,IF(AND(I1117&gt;60,I1117&lt;=80),3, IF(AND(I1117&gt;80,I1117&lt;=100),4,”5”)))))</f>
        <v>2</v>
      </c>
    </row>
    <row r="1118" spans="1:10" x14ac:dyDescent="0.3">
      <c r="A1118" t="str">
        <f t="shared" si="23"/>
        <v>59040_513</v>
      </c>
      <c r="B1118">
        <f>VLOOKUP(C1118,[1]lookuptable!$A$1:$C$7,2,0)</f>
        <v>59040</v>
      </c>
      <c r="C1118" t="s">
        <v>19</v>
      </c>
      <c r="D1118" s="1">
        <v>513</v>
      </c>
      <c r="E1118">
        <v>4</v>
      </c>
      <c r="F1118">
        <v>36</v>
      </c>
      <c r="G1118">
        <v>40</v>
      </c>
      <c r="H1118">
        <v>43</v>
      </c>
      <c r="I1118" s="2">
        <v>93.023255809999995</v>
      </c>
      <c r="J1118" cm="1">
        <f t="array" ref="J1118">IF(AND(I1118&gt;=0,I1118&lt;=20),0,IF(AND(I1118&gt;20,I1118&lt;=40),1, IF(AND(I1118&gt;40,I1118&lt;=60),2,IF(AND(I1118&gt;60,I1118&lt;=80),3, IF(AND(I1118&gt;80,I1118&lt;=100),4,”5”)))))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kuldeep singh</cp:lastModifiedBy>
  <dcterms:created xsi:type="dcterms:W3CDTF">2022-12-05T02:39:40Z</dcterms:created>
  <dcterms:modified xsi:type="dcterms:W3CDTF">2022-12-06T03:46:53Z</dcterms:modified>
</cp:coreProperties>
</file>